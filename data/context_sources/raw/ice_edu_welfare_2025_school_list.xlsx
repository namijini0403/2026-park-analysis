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9040" windowHeight="15840"/>
  </bookViews>
  <sheets>
    <sheet name="2025년교복우학교(학교시행)" sheetId="6" r:id="rId1"/>
    <sheet name="거점-순회학교 현황" sheetId="7" r:id="rId2"/>
  </sheets>
  <definedNames>
    <definedName name="_xlnm._FilterDatabase" localSheetId="0" hidden="1">'2025년교복우학교(학교시행)'!$A$2:$M$4</definedName>
    <definedName name="_xlnm.Print_Titles" localSheetId="0">'2025년교복우학교(학교시행)'!$2:$4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5" i="6" l="1"/>
  <c r="M156" i="6"/>
  <c r="L46" i="6" l="1"/>
  <c r="L208" i="6"/>
  <c r="L223" i="6"/>
  <c r="M206" i="6"/>
  <c r="M207" i="6"/>
  <c r="L201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L163" i="6"/>
  <c r="M147" i="6"/>
  <c r="M148" i="6"/>
  <c r="M149" i="6"/>
  <c r="M150" i="6"/>
  <c r="M151" i="6"/>
  <c r="M152" i="6"/>
  <c r="M153" i="6"/>
  <c r="M154" i="6"/>
  <c r="M157" i="6"/>
  <c r="M158" i="6"/>
  <c r="M159" i="6"/>
  <c r="M160" i="6"/>
  <c r="M161" i="6"/>
  <c r="M162" i="6"/>
  <c r="L106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3" i="6"/>
  <c r="M24" i="6"/>
  <c r="M25" i="6"/>
  <c r="M26" i="6"/>
  <c r="M27" i="6"/>
  <c r="M28" i="6"/>
  <c r="M29" i="6"/>
  <c r="M30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J46" i="6"/>
  <c r="L237" i="6" l="1"/>
  <c r="M203" i="6"/>
  <c r="M204" i="6"/>
  <c r="M205" i="6"/>
  <c r="M222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L238" i="6" l="1"/>
  <c r="L209" i="6"/>
  <c r="K31" i="6"/>
  <c r="M31" i="6" s="1"/>
  <c r="K22" i="6"/>
  <c r="M202" i="6"/>
  <c r="M208" i="6" s="1"/>
  <c r="M164" i="6"/>
  <c r="M201" i="6" s="1"/>
  <c r="M108" i="6"/>
  <c r="M107" i="6"/>
  <c r="M48" i="6"/>
  <c r="M47" i="6"/>
  <c r="M5" i="6"/>
  <c r="J223" i="6"/>
  <c r="K223" i="6"/>
  <c r="I223" i="6"/>
  <c r="J237" i="6"/>
  <c r="K237" i="6"/>
  <c r="I237" i="6"/>
  <c r="M221" i="6"/>
  <c r="J208" i="6"/>
  <c r="K208" i="6"/>
  <c r="I208" i="6"/>
  <c r="J201" i="6"/>
  <c r="K201" i="6"/>
  <c r="I201" i="6"/>
  <c r="J163" i="6"/>
  <c r="K163" i="6"/>
  <c r="I163" i="6"/>
  <c r="J106" i="6"/>
  <c r="K106" i="6"/>
  <c r="I106" i="6"/>
  <c r="I46" i="6"/>
  <c r="M210" i="6"/>
  <c r="M211" i="6"/>
  <c r="M212" i="6"/>
  <c r="M213" i="6"/>
  <c r="M214" i="6"/>
  <c r="M215" i="6"/>
  <c r="M216" i="6"/>
  <c r="M217" i="6"/>
  <c r="M218" i="6"/>
  <c r="M219" i="6"/>
  <c r="M220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L239" i="6" l="1"/>
  <c r="M163" i="6"/>
  <c r="M106" i="6"/>
  <c r="M22" i="6"/>
  <c r="M46" i="6" s="1"/>
  <c r="K46" i="6"/>
  <c r="K209" i="6" s="1"/>
  <c r="M223" i="6"/>
  <c r="M237" i="6"/>
  <c r="I238" i="6"/>
  <c r="J238" i="6"/>
  <c r="K238" i="6"/>
  <c r="K239" i="6" s="1"/>
  <c r="J209" i="6"/>
  <c r="I209" i="6"/>
  <c r="I239" i="6" l="1"/>
  <c r="J239" i="6"/>
  <c r="M209" i="6"/>
  <c r="M238" i="6"/>
  <c r="M239" i="6" l="1"/>
</calcChain>
</file>

<file path=xl/sharedStrings.xml><?xml version="1.0" encoding="utf-8"?>
<sst xmlns="http://schemas.openxmlformats.org/spreadsheetml/2006/main" count="1185" uniqueCount="290">
  <si>
    <t>연번</t>
    <phoneticPr fontId="2" type="noConversion"/>
  </si>
  <si>
    <t>교육
지원청</t>
    <phoneticPr fontId="2" type="noConversion"/>
  </si>
  <si>
    <t>학교급</t>
    <phoneticPr fontId="2" type="noConversion"/>
  </si>
  <si>
    <t>설립별</t>
    <phoneticPr fontId="2" type="noConversion"/>
  </si>
  <si>
    <t>학교명</t>
    <phoneticPr fontId="2" type="noConversion"/>
  </si>
  <si>
    <t>동부</t>
  </si>
  <si>
    <t>초등학교</t>
  </si>
  <si>
    <t>공립</t>
  </si>
  <si>
    <t>인천동방초등학교</t>
  </si>
  <si>
    <t>중학교</t>
  </si>
  <si>
    <t>인천동방중학교</t>
  </si>
  <si>
    <t>북부</t>
  </si>
  <si>
    <t>인천부흥초등학교</t>
  </si>
  <si>
    <t>남부</t>
  </si>
  <si>
    <t>인천용현초등학교</t>
  </si>
  <si>
    <t>사립</t>
  </si>
  <si>
    <t>서곶중학교</t>
  </si>
  <si>
    <t>인천문학초등학교</t>
  </si>
  <si>
    <t>인천남부초등학교</t>
  </si>
  <si>
    <t>인천신월초등학교</t>
  </si>
  <si>
    <t>인천송도초등학교</t>
  </si>
  <si>
    <t>부광중학교</t>
  </si>
  <si>
    <t>관교중학교</t>
  </si>
  <si>
    <t>인천공촌초등학교</t>
  </si>
  <si>
    <t>인천함박초등학교</t>
  </si>
  <si>
    <t>남인천여자중학교</t>
  </si>
  <si>
    <t>관교여자중학교</t>
  </si>
  <si>
    <t>인천약산초등학교</t>
  </si>
  <si>
    <t>인천장도초등학교</t>
  </si>
  <si>
    <t>인천간석초등학교</t>
  </si>
  <si>
    <t>인천동양중학교</t>
  </si>
  <si>
    <t>제물포여자중학교</t>
  </si>
  <si>
    <t>광성중학교</t>
  </si>
  <si>
    <t>인천서곶초등학교</t>
  </si>
  <si>
    <t>인천주안남초등학교</t>
  </si>
  <si>
    <t>인천청학초등학교</t>
  </si>
  <si>
    <t>인천부광초등학교</t>
  </si>
  <si>
    <t>간석여자중학교</t>
  </si>
  <si>
    <t>인천석남중학교</t>
  </si>
  <si>
    <t>가좌중학교</t>
  </si>
  <si>
    <t>인천안남초등학교</t>
  </si>
  <si>
    <t>인천십정초등학교</t>
  </si>
  <si>
    <t>인천상정중학교</t>
  </si>
  <si>
    <t>인천가좌여자중학교</t>
  </si>
  <si>
    <t>인천신석초등학교</t>
  </si>
  <si>
    <t>부평여자중학교</t>
  </si>
  <si>
    <t>부일중학교</t>
  </si>
  <si>
    <t>인천봉화초등학교</t>
  </si>
  <si>
    <t>인천작전초등학교</t>
  </si>
  <si>
    <t>인천동부초등학교</t>
  </si>
  <si>
    <t>상인천중학교</t>
  </si>
  <si>
    <t>석정중학교</t>
  </si>
  <si>
    <t>작전중학교</t>
  </si>
  <si>
    <t>인천부평북초등학교</t>
  </si>
  <si>
    <t>인천문남초등학교</t>
  </si>
  <si>
    <t>인천신흥초등학교</t>
  </si>
  <si>
    <t>선화여자중학교</t>
  </si>
  <si>
    <t>인천부평초등학교</t>
  </si>
  <si>
    <t>인천청천초등학교</t>
  </si>
  <si>
    <t>인천양촌초등학교</t>
  </si>
  <si>
    <t>인천명현초등학교</t>
  </si>
  <si>
    <t>인천인수초등학교</t>
  </si>
  <si>
    <t>강화</t>
  </si>
  <si>
    <t>갑룡초등학교</t>
  </si>
  <si>
    <t>신현여자중학교</t>
  </si>
  <si>
    <t>부흥중학교</t>
  </si>
  <si>
    <t>강화여자중학교</t>
  </si>
  <si>
    <t>인천백학초등학교</t>
  </si>
  <si>
    <t>동인천중학교</t>
  </si>
  <si>
    <t>인천서흥초등학교</t>
  </si>
  <si>
    <t>함박중학교</t>
  </si>
  <si>
    <t>화도진중학교</t>
  </si>
  <si>
    <t>인천숭의초등학교</t>
  </si>
  <si>
    <t>인천당산초등학교</t>
  </si>
  <si>
    <t>인천부평남초등학교</t>
  </si>
  <si>
    <t>인천도화초등학교</t>
  </si>
  <si>
    <t>인천부평동초등학교</t>
  </si>
  <si>
    <t>인천주안초등학교</t>
  </si>
  <si>
    <t>인천구월초등학교</t>
  </si>
  <si>
    <t>인천송천초등학교</t>
  </si>
  <si>
    <t>간재울중학교</t>
  </si>
  <si>
    <t>인화여자중학교</t>
  </si>
  <si>
    <t>만성중학교</t>
  </si>
  <si>
    <t>인천구월서초등학교</t>
  </si>
  <si>
    <t>인천신광초등학교</t>
  </si>
  <si>
    <t>인천만수북초등학교</t>
  </si>
  <si>
    <t>인천용일초등학교</t>
  </si>
  <si>
    <t>검단중학교</t>
  </si>
  <si>
    <t>인천부개서초등학교</t>
  </si>
  <si>
    <t>인천석암초등학교</t>
  </si>
  <si>
    <t>인천가현중학교</t>
  </si>
  <si>
    <t>인천안산초등학교</t>
  </si>
  <si>
    <t>인천영종초등학교</t>
  </si>
  <si>
    <t>인천삼산초등학교</t>
  </si>
  <si>
    <t>인천한길초등학교</t>
  </si>
  <si>
    <t>인천대화초등학교</t>
  </si>
  <si>
    <t>인천석남초등학교</t>
  </si>
  <si>
    <t>인주중학교</t>
  </si>
  <si>
    <t>인천성리초등학교</t>
  </si>
  <si>
    <t>인천신현북초등학교</t>
  </si>
  <si>
    <t>임학중학교</t>
  </si>
  <si>
    <t>명현중학교</t>
  </si>
  <si>
    <t>인천남중학교</t>
  </si>
  <si>
    <t>인천남동초등학교</t>
  </si>
  <si>
    <t>남동중학교</t>
  </si>
  <si>
    <t>인천동암초등학교</t>
  </si>
  <si>
    <t>인천석정초등학교</t>
  </si>
  <si>
    <t>인천신현초등학교</t>
  </si>
  <si>
    <t>만수여자중학교</t>
  </si>
  <si>
    <t>인천논현중학교</t>
  </si>
  <si>
    <t>삼산중학교</t>
  </si>
  <si>
    <t>부원중학교</t>
  </si>
  <si>
    <t>인천가원초등학교</t>
  </si>
  <si>
    <t>인천검단초등학교</t>
  </si>
  <si>
    <t>마전중학교</t>
  </si>
  <si>
    <t>상인천초등학교</t>
  </si>
  <si>
    <t>인천성리중학교</t>
  </si>
  <si>
    <t>인천동수초등학교</t>
  </si>
  <si>
    <t>인천조동초등학교</t>
  </si>
  <si>
    <t>인천옥련초등학교</t>
  </si>
  <si>
    <t>인천안남중학교</t>
  </si>
  <si>
    <t>인천남촌초등학교</t>
  </si>
  <si>
    <t>인천인동초등학교</t>
  </si>
  <si>
    <t>인천선학초등학교</t>
  </si>
  <si>
    <t>청천중학교</t>
  </si>
  <si>
    <t>인천석남서초등학교</t>
  </si>
  <si>
    <t>갈산중학교</t>
  </si>
  <si>
    <t>인천장아초등학교</t>
  </si>
  <si>
    <t>인천경서초등학교</t>
  </si>
  <si>
    <t>인천경원초등학교</t>
  </si>
  <si>
    <t>구산중학교</t>
  </si>
  <si>
    <t>인천서창초등학교</t>
  </si>
  <si>
    <t>인천도담초등학교</t>
  </si>
  <si>
    <t>인천백석초등학교</t>
  </si>
  <si>
    <t>원당중학교</t>
  </si>
  <si>
    <t>산곡여자중학교</t>
  </si>
  <si>
    <t>부원여자중학교</t>
  </si>
  <si>
    <t>구월중학교</t>
  </si>
  <si>
    <t>인천중산중학교</t>
  </si>
  <si>
    <t>인천불로초등학교</t>
  </si>
  <si>
    <t>인천화전초등학교</t>
  </si>
  <si>
    <t>용현중학교</t>
  </si>
  <si>
    <t>부평중학교</t>
  </si>
  <si>
    <t>계산여자중학교</t>
  </si>
  <si>
    <t>인천산곡남초등학교</t>
  </si>
  <si>
    <t>인천서창중학교</t>
  </si>
  <si>
    <t>인천장서초등학교</t>
  </si>
  <si>
    <t>인천서화초등학교</t>
  </si>
  <si>
    <t>인천당하중학교</t>
  </si>
  <si>
    <t>동암중학교</t>
  </si>
  <si>
    <t>옥련중학교</t>
  </si>
  <si>
    <t>인천관교초등학교</t>
  </si>
  <si>
    <t>선학중학교</t>
  </si>
  <si>
    <t>인천발산초등학교</t>
  </si>
  <si>
    <t>인천송현초등학교</t>
  </si>
  <si>
    <t>인천천마초등학교</t>
  </si>
  <si>
    <t>서운중학교</t>
  </si>
  <si>
    <t>구월여자중학교</t>
  </si>
  <si>
    <t>인천초은중학교</t>
  </si>
  <si>
    <t>불로중학교</t>
  </si>
  <si>
    <t>강화초등학교</t>
  </si>
  <si>
    <t>연화중학교</t>
  </si>
  <si>
    <t>인천작동초등학교</t>
  </si>
  <si>
    <t>인천효성서초등학교</t>
  </si>
  <si>
    <t>인천주원초등학교</t>
  </si>
  <si>
    <t>만수북중학교</t>
  </si>
  <si>
    <t>인천서림초등학교</t>
  </si>
  <si>
    <t>인천용현남초등학교</t>
  </si>
  <si>
    <t>인천만석초등학교</t>
  </si>
  <si>
    <t>인천학익초등학교</t>
  </si>
  <si>
    <t>인천송월초등학교</t>
  </si>
  <si>
    <t>사업학교</t>
    <phoneticPr fontId="1" type="noConversion"/>
  </si>
  <si>
    <t>인천용정초등학교</t>
  </si>
  <si>
    <t>인천인주초등학교</t>
  </si>
  <si>
    <t>인천연학초등학교</t>
  </si>
  <si>
    <t>인천창영초등학교</t>
  </si>
  <si>
    <t>인천승학초등학교</t>
  </si>
  <si>
    <t>인천신선초등학교</t>
  </si>
  <si>
    <t>인천학산초등학교</t>
  </si>
  <si>
    <t>인천연안초등학교</t>
  </si>
  <si>
    <t>인천송림초등학교</t>
  </si>
  <si>
    <t>인천별빛초등학교</t>
  </si>
  <si>
    <t>거점학교</t>
    <phoneticPr fontId="1" type="noConversion"/>
  </si>
  <si>
    <t>순회학교</t>
    <phoneticPr fontId="1" type="noConversion"/>
  </si>
  <si>
    <t>종료년도</t>
    <phoneticPr fontId="1" type="noConversion"/>
  </si>
  <si>
    <t>남부</t>
    <phoneticPr fontId="1" type="noConversion"/>
  </si>
  <si>
    <t>사업학교</t>
  </si>
  <si>
    <t>고등학교</t>
  </si>
  <si>
    <t>북부</t>
    <phoneticPr fontId="1" type="noConversion"/>
  </si>
  <si>
    <t>인건비</t>
    <phoneticPr fontId="1" type="noConversion"/>
  </si>
  <si>
    <t>계</t>
    <phoneticPr fontId="1" type="noConversion"/>
  </si>
  <si>
    <t>사업기간</t>
    <phoneticPr fontId="1" type="noConversion"/>
  </si>
  <si>
    <t>시작년도</t>
    <phoneticPr fontId="1" type="noConversion"/>
  </si>
  <si>
    <t>사업유형</t>
    <phoneticPr fontId="1" type="noConversion"/>
  </si>
  <si>
    <t>소계</t>
    <phoneticPr fontId="1" type="noConversion"/>
  </si>
  <si>
    <t>거점학교</t>
    <phoneticPr fontId="1" type="noConversion"/>
  </si>
  <si>
    <t>거점-순회학교 계(26교)</t>
    <phoneticPr fontId="1" type="noConversion"/>
  </si>
  <si>
    <t>순회학교</t>
    <phoneticPr fontId="1" type="noConversion"/>
  </si>
  <si>
    <t>인하대학교사범대학부속중학교</t>
  </si>
  <si>
    <t>인천간재울초등학교</t>
  </si>
  <si>
    <t>상인천여자중학교</t>
  </si>
  <si>
    <t>인천용학초등학교</t>
  </si>
  <si>
    <t>인천공항초등학교</t>
  </si>
  <si>
    <t>인천운서초등학교</t>
  </si>
  <si>
    <t>인천삼목초등학교</t>
  </si>
  <si>
    <t>인천운남초등학교</t>
  </si>
  <si>
    <t>인천소방고등학교</t>
  </si>
  <si>
    <t>인천미래생활고등학교</t>
  </si>
  <si>
    <t>북인천여자중학교</t>
  </si>
  <si>
    <t>강화중학교</t>
  </si>
  <si>
    <t>인천부평서초등학교</t>
  </si>
  <si>
    <t>산곡남중학교</t>
  </si>
  <si>
    <t>인천하늘초등학교</t>
  </si>
  <si>
    <t>인천중산초등학교</t>
  </si>
  <si>
    <t>순회학교 계(13교)</t>
    <phoneticPr fontId="1" type="noConversion"/>
  </si>
  <si>
    <t>거점학교 계(13교)</t>
    <phoneticPr fontId="1" type="noConversion"/>
  </si>
  <si>
    <t>지원액(원)</t>
    <phoneticPr fontId="1" type="noConversion"/>
  </si>
  <si>
    <t>거점학교</t>
    <phoneticPr fontId="8" type="noConversion"/>
  </si>
  <si>
    <t>순회학교</t>
    <phoneticPr fontId="8" type="noConversion"/>
  </si>
  <si>
    <t>거점-순회학교 지정 현황</t>
    <phoneticPr fontId="8" type="noConversion"/>
  </si>
  <si>
    <t>연번</t>
    <phoneticPr fontId="8" type="noConversion"/>
  </si>
  <si>
    <t xml:space="preserve"> </t>
    <phoneticPr fontId="8" type="noConversion"/>
  </si>
  <si>
    <t>비고</t>
    <phoneticPr fontId="8" type="noConversion"/>
  </si>
  <si>
    <t>인천연학초등학교</t>
    <phoneticPr fontId="8" type="noConversion"/>
  </si>
  <si>
    <t>인천신선초등학교</t>
    <phoneticPr fontId="8" type="noConversion"/>
  </si>
  <si>
    <t>인천학산초등학교</t>
    <phoneticPr fontId="8" type="noConversion"/>
  </si>
  <si>
    <t>인천연안초등학교</t>
    <phoneticPr fontId="8" type="noConversion"/>
  </si>
  <si>
    <t>인천용학초등학교</t>
    <phoneticPr fontId="8" type="noConversion"/>
  </si>
  <si>
    <t>인천승학초등학교</t>
    <phoneticPr fontId="8" type="noConversion"/>
  </si>
  <si>
    <t>인천인주초등학교</t>
    <phoneticPr fontId="8" type="noConversion"/>
  </si>
  <si>
    <t>인천송림초등학교</t>
    <phoneticPr fontId="8" type="noConversion"/>
  </si>
  <si>
    <t>인천창영초등학교</t>
    <phoneticPr fontId="8" type="noConversion"/>
  </si>
  <si>
    <t>인천공항초등학교</t>
    <phoneticPr fontId="8" type="noConversion"/>
  </si>
  <si>
    <t>인천별빛초등학교</t>
    <phoneticPr fontId="8" type="noConversion"/>
  </si>
  <si>
    <t>인천운서초등학교</t>
    <phoneticPr fontId="8" type="noConversion"/>
  </si>
  <si>
    <t>인천운남초등학교</t>
    <phoneticPr fontId="8" type="noConversion"/>
  </si>
  <si>
    <t>사업비</t>
    <phoneticPr fontId="1" type="noConversion"/>
  </si>
  <si>
    <t>용현여자중학교</t>
  </si>
  <si>
    <t>인천하늘중학교</t>
  </si>
  <si>
    <t>문학정보고등학교</t>
  </si>
  <si>
    <t>선인고등학교</t>
  </si>
  <si>
    <t>인천기계공업고등학교</t>
  </si>
  <si>
    <t>인천대중예술고등학교</t>
  </si>
  <si>
    <t>인천비즈니스고등학교</t>
  </si>
  <si>
    <t>인천여자상업고등학교</t>
  </si>
  <si>
    <t>인천전자마이스터고등학교</t>
  </si>
  <si>
    <t>인화여자고등학교</t>
  </si>
  <si>
    <t>학익여자고등학교</t>
  </si>
  <si>
    <t>남부 사업학교 계(41교)</t>
    <phoneticPr fontId="1" type="noConversion"/>
  </si>
  <si>
    <t>인천부원초등학교</t>
  </si>
  <si>
    <t>북인천중학교</t>
  </si>
  <si>
    <t>계산고등학교</t>
  </si>
  <si>
    <t>계산공업고등학교</t>
  </si>
  <si>
    <t>부개고등학교</t>
  </si>
  <si>
    <t>부평고등학교</t>
  </si>
  <si>
    <t>부평공업고등학교</t>
  </si>
  <si>
    <t>삼산고등학교</t>
  </si>
  <si>
    <t>인천부흥고등학교</t>
  </si>
  <si>
    <t>인천예일고등학교</t>
  </si>
  <si>
    <t>작전여자고등학교</t>
  </si>
  <si>
    <t>인천소래초등학교</t>
  </si>
  <si>
    <t>인천중앙초등학교</t>
  </si>
  <si>
    <t>인천고잔중학교</t>
  </si>
  <si>
    <t>석정여자고등학교</t>
  </si>
  <si>
    <t>인천남고등학교</t>
  </si>
  <si>
    <t>인천바이오과학고등학교</t>
  </si>
  <si>
    <t>인천뷰티예술고등학교</t>
  </si>
  <si>
    <t>인천생활과학고등학교</t>
  </si>
  <si>
    <t>인천해양과학고등학교</t>
  </si>
  <si>
    <t>인천가좌초등학교</t>
  </si>
  <si>
    <t>인천청라초등학교</t>
  </si>
  <si>
    <t>인천해원초등학교</t>
  </si>
  <si>
    <t>가정고등학교</t>
  </si>
  <si>
    <t>가좌고등학교</t>
  </si>
  <si>
    <t>인천디자인고등학교</t>
  </si>
  <si>
    <t>인천마전고등학교</t>
  </si>
  <si>
    <t>강화고등학교</t>
  </si>
  <si>
    <t>강화여자고등학교</t>
  </si>
  <si>
    <t>강화 사업학교 계(6교)</t>
    <phoneticPr fontId="1" type="noConversion"/>
  </si>
  <si>
    <t>서부 사업학교 계(37교)</t>
    <phoneticPr fontId="1" type="noConversion"/>
  </si>
  <si>
    <t>사업학교 계(199교)</t>
    <phoneticPr fontId="1" type="noConversion"/>
  </si>
  <si>
    <t>동부 사업학교 계(56교)</t>
    <phoneticPr fontId="1" type="noConversion"/>
  </si>
  <si>
    <t>북부 사업학교 계(59교)</t>
    <phoneticPr fontId="1" type="noConversion"/>
  </si>
  <si>
    <t xml:space="preserve">합계 225교 (사업학교 199교, 거점-순회 26교) </t>
    <phoneticPr fontId="1" type="noConversion"/>
  </si>
  <si>
    <t>2025.3~12월</t>
    <phoneticPr fontId="1" type="noConversion"/>
  </si>
  <si>
    <t>2026.1~2월</t>
    <phoneticPr fontId="1" type="noConversion"/>
  </si>
  <si>
    <t>2025.3~2026.2월</t>
    <phoneticPr fontId="1" type="noConversion"/>
  </si>
  <si>
    <t>인천반도체고등학교</t>
    <phoneticPr fontId="1" type="noConversion"/>
  </si>
  <si>
    <t>서부</t>
    <phoneticPr fontId="1" type="noConversion"/>
  </si>
  <si>
    <t>2025년도 교육복지우선지원사업 지원학교 명단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</si>
</sst>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0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1" fontId="4" fillId="6" borderId="1" xfId="0" applyNumberFormat="1" applyFont="1" applyFill="1" applyBorder="1" applyAlignment="1">
      <alignment horizontal="center" vertical="center" wrapText="1"/>
    </xf>
    <xf numFmtId="41" fontId="6" fillId="6" borderId="1" xfId="0" applyNumberFormat="1" applyFont="1" applyFill="1" applyBorder="1" applyAlignment="1">
      <alignment horizontal="center" vertical="center" wrapText="1"/>
    </xf>
    <xf numFmtId="41" fontId="3" fillId="0" borderId="1" xfId="1" applyFont="1" applyBorder="1" applyAlignment="1">
      <alignment horizontal="right" vertical="center"/>
    </xf>
    <xf numFmtId="41" fontId="3" fillId="0" borderId="1" xfId="1" applyFont="1" applyFill="1" applyBorder="1" applyAlignment="1">
      <alignment horizontal="right" vertical="center"/>
    </xf>
    <xf numFmtId="41" fontId="3" fillId="0" borderId="4" xfId="1" applyFont="1" applyBorder="1" applyAlignment="1">
      <alignment horizontal="right" vertical="center"/>
    </xf>
    <xf numFmtId="41" fontId="3" fillId="0" borderId="2" xfId="1" applyFont="1" applyBorder="1" applyAlignment="1">
      <alignment horizontal="right" vertical="center"/>
    </xf>
    <xf numFmtId="41" fontId="3" fillId="0" borderId="2" xfId="1" applyFont="1" applyFill="1" applyBorder="1" applyAlignment="1">
      <alignment horizontal="right" vertical="center"/>
    </xf>
    <xf numFmtId="41" fontId="3" fillId="2" borderId="5" xfId="1" applyFont="1" applyFill="1" applyBorder="1" applyAlignment="1">
      <alignment horizontal="right" vertical="center"/>
    </xf>
    <xf numFmtId="41" fontId="3" fillId="0" borderId="3" xfId="1" applyFont="1" applyBorder="1" applyAlignment="1">
      <alignment horizontal="right" vertical="center"/>
    </xf>
    <xf numFmtId="41" fontId="3" fillId="0" borderId="6" xfId="1" applyFont="1" applyBorder="1" applyAlignment="1">
      <alignment horizontal="right" vertical="center"/>
    </xf>
    <xf numFmtId="41" fontId="3" fillId="3" borderId="5" xfId="1" applyFont="1" applyFill="1" applyBorder="1" applyAlignment="1">
      <alignment horizontal="right" vertical="center"/>
    </xf>
    <xf numFmtId="41" fontId="3" fillId="0" borderId="3" xfId="1" applyFont="1" applyFill="1" applyBorder="1" applyAlignment="1">
      <alignment horizontal="right" vertical="center"/>
    </xf>
    <xf numFmtId="41" fontId="3" fillId="5" borderId="7" xfId="1" applyFont="1" applyFill="1" applyBorder="1" applyAlignment="1">
      <alignment horizontal="right" vertical="center"/>
    </xf>
    <xf numFmtId="41" fontId="3" fillId="0" borderId="5" xfId="1" applyFont="1" applyFill="1" applyBorder="1" applyAlignment="1">
      <alignment horizontal="right" vertical="center"/>
    </xf>
    <xf numFmtId="41" fontId="3" fillId="4" borderId="7" xfId="1" applyFont="1" applyFill="1" applyBorder="1" applyAlignment="1">
      <alignment horizontal="right" vertical="center"/>
    </xf>
    <xf numFmtId="41" fontId="5" fillId="0" borderId="1" xfId="1" applyFont="1" applyFill="1" applyBorder="1" applyAlignment="1">
      <alignment horizontal="right" vertical="center"/>
    </xf>
    <xf numFmtId="41" fontId="4" fillId="6" borderId="1" xfId="0" applyNumberFormat="1" applyFont="1" applyFill="1" applyBorder="1" applyAlignment="1">
      <alignment horizontal="right" vertical="center"/>
    </xf>
    <xf numFmtId="41" fontId="3" fillId="0" borderId="3" xfId="1" applyFont="1" applyBorder="1" applyAlignment="1">
      <alignment horizontal="right" vertical="center"/>
    </xf>
    <xf numFmtId="41" fontId="3" fillId="0" borderId="6" xfId="1" applyFont="1" applyBorder="1" applyAlignment="1">
      <alignment horizontal="right" vertical="center"/>
    </xf>
    <xf numFmtId="0" fontId="0" fillId="7" borderId="1" xfId="0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0" fillId="0" borderId="1" xfId="0" applyNumberFormat="1" applyFont="1" applyBorder="1">
      <alignment vertical="center"/>
    </xf>
    <xf numFmtId="41" fontId="0" fillId="0" borderId="1" xfId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41" fontId="0" fillId="0" borderId="2" xfId="0" applyNumberFormat="1" applyBorder="1">
      <alignment vertical="center"/>
    </xf>
    <xf numFmtId="41" fontId="0" fillId="0" borderId="1" xfId="0" applyNumberForma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shrinkToFit="1"/>
    </xf>
    <xf numFmtId="0" fontId="0" fillId="7" borderId="21" xfId="0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0" fillId="5" borderId="18" xfId="0" applyFont="1" applyFill="1" applyBorder="1" applyAlignment="1">
      <alignment horizontal="center" vertical="center"/>
    </xf>
    <xf numFmtId="0" fontId="0" fillId="5" borderId="19" xfId="0" applyFont="1" applyFill="1" applyBorder="1" applyAlignment="1">
      <alignment horizontal="center" vertical="center"/>
    </xf>
    <xf numFmtId="0" fontId="0" fillId="5" borderId="20" xfId="0" applyFont="1" applyFill="1" applyBorder="1" applyAlignment="1">
      <alignment horizontal="center" vertical="center"/>
    </xf>
    <xf numFmtId="0" fontId="0" fillId="4" borderId="18" xfId="0" applyFont="1" applyFill="1" applyBorder="1" applyAlignment="1">
      <alignment horizontal="center" vertical="center"/>
    </xf>
    <xf numFmtId="0" fontId="0" fillId="4" borderId="19" xfId="0" applyFont="1" applyFill="1" applyBorder="1" applyAlignment="1">
      <alignment horizontal="center" vertical="center"/>
    </xf>
    <xf numFmtId="0" fontId="0" fillId="4" borderId="20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0" fontId="0" fillId="3" borderId="13" xfId="0" applyFont="1" applyFill="1" applyBorder="1" applyAlignment="1">
      <alignment horizontal="center" vertical="center"/>
    </xf>
    <xf numFmtId="41" fontId="4" fillId="6" borderId="8" xfId="0" applyNumberFormat="1" applyFont="1" applyFill="1" applyBorder="1" applyAlignment="1">
      <alignment horizontal="center" vertical="center" wrapText="1"/>
    </xf>
    <xf numFmtId="41" fontId="4" fillId="6" borderId="9" xfId="0" applyNumberFormat="1" applyFont="1" applyFill="1" applyBorder="1" applyAlignment="1">
      <alignment horizontal="center" vertical="center" wrapText="1"/>
    </xf>
    <xf numFmtId="41" fontId="4" fillId="6" borderId="10" xfId="0" applyNumberFormat="1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41" fontId="4" fillId="6" borderId="2" xfId="0" applyNumberFormat="1" applyFont="1" applyFill="1" applyBorder="1" applyAlignment="1">
      <alignment horizontal="center" vertical="center" wrapText="1"/>
    </xf>
    <xf numFmtId="41" fontId="4" fillId="6" borderId="6" xfId="0" applyNumberFormat="1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S239"/>
  <sheetViews>
    <sheetView tabSelected="1" workbookViewId="0">
      <selection sqref="A1:M1"/>
    </sheetView>
  </sheetViews>
  <sheetFormatPr defaultRowHeight="16.5"/>
  <cols>
    <col min="1" max="1" width="6.875" style="1" customWidth="1"/>
    <col min="2" max="2" width="10.5" style="1" customWidth="1"/>
    <col min="3" max="5" width="9" style="1"/>
    <col min="6" max="6" width="23.375" style="1" customWidth="1"/>
    <col min="7" max="8" width="9.125" style="1" customWidth="1"/>
    <col min="9" max="9" width="13.5" style="21" customWidth="1"/>
    <col min="10" max="10" width="12.5" style="21" customWidth="1"/>
    <col min="11" max="11" width="12.75" style="21" customWidth="1"/>
    <col min="12" max="12" width="15.625" style="21" customWidth="1"/>
    <col min="13" max="13" width="16.5" style="21" customWidth="1"/>
  </cols>
  <sheetData>
    <row r="1" spans="1:253" ht="54" customHeight="1">
      <c r="A1" s="77" t="s">
        <v>289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253" s="2" customFormat="1" ht="21.95" customHeight="1">
      <c r="A2" s="78" t="s">
        <v>0</v>
      </c>
      <c r="B2" s="78" t="s">
        <v>193</v>
      </c>
      <c r="C2" s="78" t="s">
        <v>1</v>
      </c>
      <c r="D2" s="59" t="s">
        <v>2</v>
      </c>
      <c r="E2" s="59" t="s">
        <v>3</v>
      </c>
      <c r="F2" s="59" t="s">
        <v>4</v>
      </c>
      <c r="G2" s="83" t="s">
        <v>191</v>
      </c>
      <c r="H2" s="84"/>
      <c r="I2" s="74" t="s">
        <v>216</v>
      </c>
      <c r="J2" s="75"/>
      <c r="K2" s="75"/>
      <c r="L2" s="75"/>
      <c r="M2" s="76"/>
    </row>
    <row r="3" spans="1:253" s="2" customFormat="1" ht="21.95" customHeight="1">
      <c r="A3" s="79"/>
      <c r="B3" s="79"/>
      <c r="C3" s="79"/>
      <c r="D3" s="60"/>
      <c r="E3" s="60"/>
      <c r="F3" s="60"/>
      <c r="G3" s="78" t="s">
        <v>192</v>
      </c>
      <c r="H3" s="78" t="s">
        <v>184</v>
      </c>
      <c r="I3" s="74" t="s">
        <v>189</v>
      </c>
      <c r="J3" s="75"/>
      <c r="K3" s="76"/>
      <c r="L3" s="22" t="s">
        <v>236</v>
      </c>
      <c r="M3" s="81" t="s">
        <v>190</v>
      </c>
    </row>
    <row r="4" spans="1:253" s="2" customFormat="1" ht="21.95" customHeight="1">
      <c r="A4" s="80"/>
      <c r="B4" s="80"/>
      <c r="C4" s="80"/>
      <c r="D4" s="61"/>
      <c r="E4" s="61"/>
      <c r="F4" s="61"/>
      <c r="G4" s="80"/>
      <c r="H4" s="80"/>
      <c r="I4" s="23" t="s">
        <v>284</v>
      </c>
      <c r="J4" s="23" t="s">
        <v>285</v>
      </c>
      <c r="K4" s="23" t="s">
        <v>194</v>
      </c>
      <c r="L4" s="23" t="s">
        <v>286</v>
      </c>
      <c r="M4" s="82"/>
    </row>
    <row r="5" spans="1:253" ht="20.100000000000001" customHeight="1">
      <c r="A5" s="6">
        <v>1</v>
      </c>
      <c r="B5" s="6" t="s">
        <v>171</v>
      </c>
      <c r="C5" s="6" t="s">
        <v>13</v>
      </c>
      <c r="D5" s="6" t="s">
        <v>6</v>
      </c>
      <c r="E5" s="6" t="s">
        <v>7</v>
      </c>
      <c r="F5" s="41" t="s">
        <v>18</v>
      </c>
      <c r="G5" s="41">
        <v>2022</v>
      </c>
      <c r="H5" s="41">
        <v>2026</v>
      </c>
      <c r="I5" s="24"/>
      <c r="J5" s="24"/>
      <c r="K5" s="24"/>
      <c r="L5" s="42">
        <v>5480000</v>
      </c>
      <c r="M5" s="24">
        <f t="shared" ref="M5:M45" si="0">SUM(K5:L5)</f>
        <v>5480000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</row>
    <row r="6" spans="1:253" ht="20.100000000000001" customHeight="1">
      <c r="A6" s="6">
        <v>2</v>
      </c>
      <c r="B6" s="6" t="s">
        <v>171</v>
      </c>
      <c r="C6" s="6" t="s">
        <v>13</v>
      </c>
      <c r="D6" s="6" t="s">
        <v>6</v>
      </c>
      <c r="E6" s="6" t="s">
        <v>7</v>
      </c>
      <c r="F6" s="41" t="s">
        <v>95</v>
      </c>
      <c r="G6" s="41">
        <v>2021</v>
      </c>
      <c r="H6" s="41">
        <v>2025</v>
      </c>
      <c r="I6" s="24"/>
      <c r="J6" s="24"/>
      <c r="K6" s="24"/>
      <c r="L6" s="42">
        <v>5660000</v>
      </c>
      <c r="M6" s="24">
        <f t="shared" si="0"/>
        <v>5660000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</row>
    <row r="7" spans="1:253" ht="20.100000000000001" customHeight="1">
      <c r="A7" s="6">
        <v>3</v>
      </c>
      <c r="B7" s="6" t="s">
        <v>171</v>
      </c>
      <c r="C7" s="6" t="s">
        <v>13</v>
      </c>
      <c r="D7" s="6" t="s">
        <v>6</v>
      </c>
      <c r="E7" s="6" t="s">
        <v>7</v>
      </c>
      <c r="F7" s="41" t="s">
        <v>75</v>
      </c>
      <c r="G7" s="41">
        <v>2021</v>
      </c>
      <c r="H7" s="41">
        <v>2025</v>
      </c>
      <c r="I7" s="24"/>
      <c r="J7" s="24"/>
      <c r="K7" s="24"/>
      <c r="L7" s="43">
        <v>8210000</v>
      </c>
      <c r="M7" s="24">
        <f t="shared" si="0"/>
        <v>8210000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</row>
    <row r="8" spans="1:253" ht="20.100000000000001" customHeight="1">
      <c r="A8" s="6">
        <v>4</v>
      </c>
      <c r="B8" s="6" t="s">
        <v>171</v>
      </c>
      <c r="C8" s="6" t="s">
        <v>13</v>
      </c>
      <c r="D8" s="6" t="s">
        <v>6</v>
      </c>
      <c r="E8" s="6" t="s">
        <v>7</v>
      </c>
      <c r="F8" s="51" t="s">
        <v>17</v>
      </c>
      <c r="G8" s="41">
        <v>2022</v>
      </c>
      <c r="H8" s="41">
        <v>2026</v>
      </c>
      <c r="I8" s="24"/>
      <c r="J8" s="24"/>
      <c r="K8" s="24"/>
      <c r="L8" s="42">
        <v>6680000</v>
      </c>
      <c r="M8" s="24">
        <f t="shared" si="0"/>
        <v>6680000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</row>
    <row r="9" spans="1:253" ht="20.100000000000001" customHeight="1">
      <c r="A9" s="6">
        <v>5</v>
      </c>
      <c r="B9" s="6" t="s">
        <v>171</v>
      </c>
      <c r="C9" s="6" t="s">
        <v>13</v>
      </c>
      <c r="D9" s="6" t="s">
        <v>6</v>
      </c>
      <c r="E9" s="6" t="s">
        <v>7</v>
      </c>
      <c r="F9" s="41" t="s">
        <v>67</v>
      </c>
      <c r="G9" s="41">
        <v>2022</v>
      </c>
      <c r="H9" s="41">
        <v>2026</v>
      </c>
      <c r="I9" s="24"/>
      <c r="J9" s="24"/>
      <c r="K9" s="24"/>
      <c r="L9" s="42">
        <v>3980000</v>
      </c>
      <c r="M9" s="24">
        <f t="shared" si="0"/>
        <v>3980000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</row>
    <row r="10" spans="1:253" ht="20.100000000000001" customHeight="1">
      <c r="A10" s="6">
        <v>6</v>
      </c>
      <c r="B10" s="6" t="s">
        <v>171</v>
      </c>
      <c r="C10" s="6" t="s">
        <v>13</v>
      </c>
      <c r="D10" s="6" t="s">
        <v>6</v>
      </c>
      <c r="E10" s="6" t="s">
        <v>7</v>
      </c>
      <c r="F10" s="41" t="s">
        <v>69</v>
      </c>
      <c r="G10" s="41">
        <v>2023</v>
      </c>
      <c r="H10" s="41">
        <v>2027</v>
      </c>
      <c r="I10" s="24"/>
      <c r="J10" s="24"/>
      <c r="K10" s="24"/>
      <c r="L10" s="42">
        <v>3380000</v>
      </c>
      <c r="M10" s="24">
        <f t="shared" si="0"/>
        <v>3380000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</row>
    <row r="11" spans="1:253" ht="20.100000000000001" customHeight="1">
      <c r="A11" s="6">
        <v>7</v>
      </c>
      <c r="B11" s="6" t="s">
        <v>171</v>
      </c>
      <c r="C11" s="6" t="s">
        <v>13</v>
      </c>
      <c r="D11" s="6" t="s">
        <v>6</v>
      </c>
      <c r="E11" s="6" t="s">
        <v>7</v>
      </c>
      <c r="F11" s="41" t="s">
        <v>89</v>
      </c>
      <c r="G11" s="41">
        <v>2021</v>
      </c>
      <c r="H11" s="41">
        <v>2025</v>
      </c>
      <c r="I11" s="24"/>
      <c r="J11" s="24"/>
      <c r="K11" s="24"/>
      <c r="L11" s="42">
        <v>6950000</v>
      </c>
      <c r="M11" s="24">
        <f t="shared" si="0"/>
        <v>6950000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</row>
    <row r="12" spans="1:253" ht="20.100000000000001" customHeight="1">
      <c r="A12" s="6">
        <v>8</v>
      </c>
      <c r="B12" s="6" t="s">
        <v>171</v>
      </c>
      <c r="C12" s="6" t="s">
        <v>13</v>
      </c>
      <c r="D12" s="6" t="s">
        <v>6</v>
      </c>
      <c r="E12" s="6" t="s">
        <v>7</v>
      </c>
      <c r="F12" s="41" t="s">
        <v>72</v>
      </c>
      <c r="G12" s="41">
        <v>2021</v>
      </c>
      <c r="H12" s="41">
        <v>2025</v>
      </c>
      <c r="I12" s="24"/>
      <c r="J12" s="24"/>
      <c r="K12" s="24"/>
      <c r="L12" s="42">
        <v>10700000</v>
      </c>
      <c r="M12" s="24">
        <f t="shared" si="0"/>
        <v>10700000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</row>
    <row r="13" spans="1:253" ht="20.100000000000001" customHeight="1">
      <c r="A13" s="6">
        <v>9</v>
      </c>
      <c r="B13" s="6" t="s">
        <v>171</v>
      </c>
      <c r="C13" s="6" t="s">
        <v>13</v>
      </c>
      <c r="D13" s="6" t="s">
        <v>6</v>
      </c>
      <c r="E13" s="6" t="s">
        <v>7</v>
      </c>
      <c r="F13" s="41" t="s">
        <v>84</v>
      </c>
      <c r="G13" s="41">
        <v>2021</v>
      </c>
      <c r="H13" s="41">
        <v>2025</v>
      </c>
      <c r="I13" s="24"/>
      <c r="J13" s="24"/>
      <c r="K13" s="24"/>
      <c r="L13" s="42">
        <v>6260000</v>
      </c>
      <c r="M13" s="24">
        <f t="shared" si="0"/>
        <v>6260000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</row>
    <row r="14" spans="1:253" ht="20.100000000000001" customHeight="1">
      <c r="A14" s="6">
        <v>10</v>
      </c>
      <c r="B14" s="6" t="s">
        <v>171</v>
      </c>
      <c r="C14" s="6" t="s">
        <v>13</v>
      </c>
      <c r="D14" s="6" t="s">
        <v>6</v>
      </c>
      <c r="E14" s="6" t="s">
        <v>7</v>
      </c>
      <c r="F14" s="41" t="s">
        <v>55</v>
      </c>
      <c r="G14" s="41">
        <v>2023</v>
      </c>
      <c r="H14" s="41">
        <v>2027</v>
      </c>
      <c r="I14" s="24"/>
      <c r="J14" s="24"/>
      <c r="K14" s="24"/>
      <c r="L14" s="42">
        <v>4250000</v>
      </c>
      <c r="M14" s="24">
        <f t="shared" si="0"/>
        <v>4250000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</row>
    <row r="15" spans="1:253" ht="20.100000000000001" customHeight="1">
      <c r="A15" s="6">
        <v>11</v>
      </c>
      <c r="B15" s="6" t="s">
        <v>171</v>
      </c>
      <c r="C15" s="6" t="s">
        <v>13</v>
      </c>
      <c r="D15" s="6" t="s">
        <v>6</v>
      </c>
      <c r="E15" s="6" t="s">
        <v>7</v>
      </c>
      <c r="F15" s="41" t="s">
        <v>92</v>
      </c>
      <c r="G15" s="41">
        <v>2021</v>
      </c>
      <c r="H15" s="41">
        <v>2025</v>
      </c>
      <c r="I15" s="24"/>
      <c r="J15" s="24"/>
      <c r="K15" s="24"/>
      <c r="L15" s="42">
        <v>4820000</v>
      </c>
      <c r="M15" s="24">
        <f t="shared" si="0"/>
        <v>4820000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</row>
    <row r="16" spans="1:253" ht="20.100000000000001" customHeight="1">
      <c r="A16" s="6">
        <v>12</v>
      </c>
      <c r="B16" s="6" t="s">
        <v>171</v>
      </c>
      <c r="C16" s="6" t="s">
        <v>13</v>
      </c>
      <c r="D16" s="6" t="s">
        <v>6</v>
      </c>
      <c r="E16" s="6" t="s">
        <v>7</v>
      </c>
      <c r="F16" s="41" t="s">
        <v>86</v>
      </c>
      <c r="G16" s="41">
        <v>2021</v>
      </c>
      <c r="H16" s="41">
        <v>2025</v>
      </c>
      <c r="I16" s="24"/>
      <c r="J16" s="24"/>
      <c r="K16" s="24"/>
      <c r="L16" s="42">
        <v>5840000</v>
      </c>
      <c r="M16" s="24">
        <f t="shared" si="0"/>
        <v>5840000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</row>
    <row r="17" spans="1:253" ht="20.100000000000001" customHeight="1">
      <c r="A17" s="6">
        <v>13</v>
      </c>
      <c r="B17" s="6" t="s">
        <v>171</v>
      </c>
      <c r="C17" s="6" t="s">
        <v>13</v>
      </c>
      <c r="D17" s="6" t="s">
        <v>6</v>
      </c>
      <c r="E17" s="6" t="s">
        <v>7</v>
      </c>
      <c r="F17" s="41" t="s">
        <v>14</v>
      </c>
      <c r="G17" s="41">
        <v>2022</v>
      </c>
      <c r="H17" s="41">
        <v>2026</v>
      </c>
      <c r="I17" s="24"/>
      <c r="J17" s="24"/>
      <c r="K17" s="24"/>
      <c r="L17" s="42">
        <v>8360000</v>
      </c>
      <c r="M17" s="24">
        <f t="shared" si="0"/>
        <v>8360000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</row>
    <row r="18" spans="1:253" s="5" customFormat="1" ht="20.100000000000001" customHeight="1">
      <c r="A18" s="6">
        <v>14</v>
      </c>
      <c r="B18" s="6" t="s">
        <v>171</v>
      </c>
      <c r="C18" s="7" t="s">
        <v>13</v>
      </c>
      <c r="D18" s="7" t="s">
        <v>6</v>
      </c>
      <c r="E18" s="7" t="s">
        <v>7</v>
      </c>
      <c r="F18" s="41" t="s">
        <v>34</v>
      </c>
      <c r="G18" s="41">
        <v>2023</v>
      </c>
      <c r="H18" s="41">
        <v>2027</v>
      </c>
      <c r="I18" s="25"/>
      <c r="J18" s="25"/>
      <c r="K18" s="25"/>
      <c r="L18" s="42">
        <v>5160000</v>
      </c>
      <c r="M18" s="24">
        <f t="shared" si="0"/>
        <v>5160000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</row>
    <row r="19" spans="1:253" s="5" customFormat="1" ht="20.100000000000001" customHeight="1">
      <c r="A19" s="6">
        <v>15</v>
      </c>
      <c r="B19" s="6" t="s">
        <v>171</v>
      </c>
      <c r="C19" s="7" t="s">
        <v>13</v>
      </c>
      <c r="D19" s="7" t="s">
        <v>6</v>
      </c>
      <c r="E19" s="7" t="s">
        <v>7</v>
      </c>
      <c r="F19" s="41" t="s">
        <v>77</v>
      </c>
      <c r="G19" s="41">
        <v>2021</v>
      </c>
      <c r="H19" s="41">
        <v>2025</v>
      </c>
      <c r="I19" s="25"/>
      <c r="J19" s="25"/>
      <c r="K19" s="25"/>
      <c r="L19" s="44">
        <v>7050000</v>
      </c>
      <c r="M19" s="24">
        <f t="shared" si="0"/>
        <v>7050000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</row>
    <row r="20" spans="1:253" s="5" customFormat="1" ht="20.100000000000001" customHeight="1">
      <c r="A20" s="6">
        <v>16</v>
      </c>
      <c r="B20" s="6" t="s">
        <v>171</v>
      </c>
      <c r="C20" s="7" t="s">
        <v>13</v>
      </c>
      <c r="D20" s="6" t="s">
        <v>9</v>
      </c>
      <c r="E20" s="7" t="s">
        <v>7</v>
      </c>
      <c r="F20" s="41" t="s">
        <v>26</v>
      </c>
      <c r="G20" s="41">
        <v>2022</v>
      </c>
      <c r="H20" s="41">
        <v>2026</v>
      </c>
      <c r="I20" s="25"/>
      <c r="J20" s="25"/>
      <c r="K20" s="25"/>
      <c r="L20" s="42">
        <v>5790000</v>
      </c>
      <c r="M20" s="24">
        <f t="shared" si="0"/>
        <v>5790000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</row>
    <row r="21" spans="1:253" ht="20.100000000000001" customHeight="1">
      <c r="A21" s="6">
        <v>17</v>
      </c>
      <c r="B21" s="6" t="s">
        <v>171</v>
      </c>
      <c r="C21" s="6" t="s">
        <v>13</v>
      </c>
      <c r="D21" s="6" t="s">
        <v>9</v>
      </c>
      <c r="E21" s="6" t="s">
        <v>7</v>
      </c>
      <c r="F21" s="41" t="s">
        <v>22</v>
      </c>
      <c r="G21" s="41">
        <v>2022</v>
      </c>
      <c r="H21" s="41">
        <v>2026</v>
      </c>
      <c r="I21" s="24"/>
      <c r="J21" s="24"/>
      <c r="K21" s="24"/>
      <c r="L21" s="42">
        <v>7560000</v>
      </c>
      <c r="M21" s="24">
        <f t="shared" si="0"/>
        <v>7560000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</row>
    <row r="22" spans="1:253" ht="20.100000000000001" customHeight="1">
      <c r="A22" s="6">
        <v>18</v>
      </c>
      <c r="B22" s="6" t="s">
        <v>171</v>
      </c>
      <c r="C22" s="6" t="s">
        <v>13</v>
      </c>
      <c r="D22" s="6" t="s">
        <v>9</v>
      </c>
      <c r="E22" s="6" t="s">
        <v>15</v>
      </c>
      <c r="F22" s="41" t="s">
        <v>32</v>
      </c>
      <c r="G22" s="41">
        <v>2022</v>
      </c>
      <c r="H22" s="41">
        <v>2026</v>
      </c>
      <c r="I22" s="24">
        <v>30000000</v>
      </c>
      <c r="J22" s="24">
        <v>10000000</v>
      </c>
      <c r="K22" s="24">
        <f>SUM(I22:J22)</f>
        <v>40000000</v>
      </c>
      <c r="L22" s="42">
        <v>3930000</v>
      </c>
      <c r="M22" s="24">
        <f t="shared" si="0"/>
        <v>43930000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</row>
    <row r="23" spans="1:253" ht="20.100000000000001" customHeight="1">
      <c r="A23" s="6">
        <v>19</v>
      </c>
      <c r="B23" s="6" t="s">
        <v>171</v>
      </c>
      <c r="C23" s="6" t="s">
        <v>13</v>
      </c>
      <c r="D23" s="6" t="s">
        <v>9</v>
      </c>
      <c r="E23" s="6" t="s">
        <v>7</v>
      </c>
      <c r="F23" s="41" t="s">
        <v>25</v>
      </c>
      <c r="G23" s="41">
        <v>2022</v>
      </c>
      <c r="H23" s="41">
        <v>2026</v>
      </c>
      <c r="I23" s="24"/>
      <c r="J23" s="24"/>
      <c r="K23" s="24"/>
      <c r="L23" s="42">
        <v>6060000</v>
      </c>
      <c r="M23" s="24">
        <f t="shared" si="0"/>
        <v>6060000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</row>
    <row r="24" spans="1:253" ht="20.100000000000001" customHeight="1">
      <c r="A24" s="6">
        <v>20</v>
      </c>
      <c r="B24" s="6" t="s">
        <v>171</v>
      </c>
      <c r="C24" s="6" t="s">
        <v>13</v>
      </c>
      <c r="D24" s="6" t="s">
        <v>9</v>
      </c>
      <c r="E24" s="6" t="s">
        <v>7</v>
      </c>
      <c r="F24" s="41" t="s">
        <v>56</v>
      </c>
      <c r="G24" s="41">
        <v>2022</v>
      </c>
      <c r="H24" s="41">
        <v>2026</v>
      </c>
      <c r="I24" s="24"/>
      <c r="J24" s="24"/>
      <c r="K24" s="24"/>
      <c r="L24" s="42">
        <v>4890000</v>
      </c>
      <c r="M24" s="24">
        <f t="shared" si="0"/>
        <v>4890000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</row>
    <row r="25" spans="1:253" ht="20.100000000000001" customHeight="1">
      <c r="A25" s="6">
        <v>21</v>
      </c>
      <c r="B25" s="6" t="s">
        <v>171</v>
      </c>
      <c r="C25" s="6" t="s">
        <v>13</v>
      </c>
      <c r="D25" s="6" t="s">
        <v>9</v>
      </c>
      <c r="E25" s="6" t="s">
        <v>7</v>
      </c>
      <c r="F25" s="41" t="s">
        <v>237</v>
      </c>
      <c r="G25" s="41">
        <v>2024</v>
      </c>
      <c r="H25" s="41">
        <v>2028</v>
      </c>
      <c r="I25" s="24"/>
      <c r="J25" s="24"/>
      <c r="K25" s="24"/>
      <c r="L25" s="42">
        <v>4320000</v>
      </c>
      <c r="M25" s="24">
        <f t="shared" si="0"/>
        <v>4320000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</row>
    <row r="26" spans="1:253" ht="20.100000000000001" customHeight="1">
      <c r="A26" s="6">
        <v>22</v>
      </c>
      <c r="B26" s="6" t="s">
        <v>171</v>
      </c>
      <c r="C26" s="6" t="s">
        <v>13</v>
      </c>
      <c r="D26" s="6" t="s">
        <v>9</v>
      </c>
      <c r="E26" s="6" t="s">
        <v>7</v>
      </c>
      <c r="F26" s="41" t="s">
        <v>141</v>
      </c>
      <c r="G26" s="41">
        <v>2022</v>
      </c>
      <c r="H26" s="41">
        <v>2026</v>
      </c>
      <c r="I26" s="24"/>
      <c r="J26" s="24"/>
      <c r="K26" s="24"/>
      <c r="L26" s="42">
        <v>3750000</v>
      </c>
      <c r="M26" s="24">
        <f t="shared" si="0"/>
        <v>3750000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</row>
    <row r="27" spans="1:253" ht="20.100000000000001" customHeight="1">
      <c r="A27" s="6">
        <v>23</v>
      </c>
      <c r="B27" s="6" t="s">
        <v>171</v>
      </c>
      <c r="C27" s="6" t="s">
        <v>13</v>
      </c>
      <c r="D27" s="6" t="s">
        <v>9</v>
      </c>
      <c r="E27" s="6" t="s">
        <v>7</v>
      </c>
      <c r="F27" s="41" t="s">
        <v>97</v>
      </c>
      <c r="G27" s="41">
        <v>2021</v>
      </c>
      <c r="H27" s="41">
        <v>2025</v>
      </c>
      <c r="I27" s="24"/>
      <c r="J27" s="24"/>
      <c r="K27" s="24"/>
      <c r="L27" s="42">
        <v>5130000</v>
      </c>
      <c r="M27" s="24">
        <f t="shared" si="0"/>
        <v>5130000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</row>
    <row r="28" spans="1:253" ht="20.100000000000001" customHeight="1">
      <c r="A28" s="6">
        <v>24</v>
      </c>
      <c r="B28" s="6" t="s">
        <v>171</v>
      </c>
      <c r="C28" s="6" t="s">
        <v>13</v>
      </c>
      <c r="D28" s="6" t="s">
        <v>9</v>
      </c>
      <c r="E28" s="6" t="s">
        <v>7</v>
      </c>
      <c r="F28" s="41" t="s">
        <v>102</v>
      </c>
      <c r="G28" s="41">
        <v>2021</v>
      </c>
      <c r="H28" s="41">
        <v>2025</v>
      </c>
      <c r="I28" s="24"/>
      <c r="J28" s="24"/>
      <c r="K28" s="24"/>
      <c r="L28" s="44">
        <v>5640000</v>
      </c>
      <c r="M28" s="24">
        <f t="shared" si="0"/>
        <v>5640000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</row>
    <row r="29" spans="1:253" ht="20.100000000000001" customHeight="1">
      <c r="A29" s="6">
        <v>25</v>
      </c>
      <c r="B29" s="6" t="s">
        <v>171</v>
      </c>
      <c r="C29" s="6" t="s">
        <v>13</v>
      </c>
      <c r="D29" s="6" t="s">
        <v>9</v>
      </c>
      <c r="E29" s="6" t="s">
        <v>7</v>
      </c>
      <c r="F29" s="41" t="s">
        <v>138</v>
      </c>
      <c r="G29" s="41">
        <v>2024</v>
      </c>
      <c r="H29" s="41">
        <v>2028</v>
      </c>
      <c r="I29" s="24"/>
      <c r="J29" s="24"/>
      <c r="K29" s="24"/>
      <c r="L29" s="42">
        <v>4380000</v>
      </c>
      <c r="M29" s="24">
        <f t="shared" si="0"/>
        <v>4380000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</row>
    <row r="30" spans="1:253" ht="20.100000000000001" customHeight="1">
      <c r="A30" s="6">
        <v>26</v>
      </c>
      <c r="B30" s="6" t="s">
        <v>171</v>
      </c>
      <c r="C30" s="6" t="s">
        <v>13</v>
      </c>
      <c r="D30" s="6" t="s">
        <v>9</v>
      </c>
      <c r="E30" s="6" t="s">
        <v>7</v>
      </c>
      <c r="F30" s="41" t="s">
        <v>238</v>
      </c>
      <c r="G30" s="41">
        <v>2024</v>
      </c>
      <c r="H30" s="41">
        <v>2028</v>
      </c>
      <c r="I30" s="50"/>
      <c r="J30" s="50"/>
      <c r="K30" s="50"/>
      <c r="L30" s="42">
        <v>4350000</v>
      </c>
      <c r="M30" s="24">
        <f t="shared" si="0"/>
        <v>4350000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</row>
    <row r="31" spans="1:253" ht="20.100000000000001" customHeight="1">
      <c r="A31" s="6">
        <v>27</v>
      </c>
      <c r="B31" s="6" t="s">
        <v>171</v>
      </c>
      <c r="C31" s="6" t="s">
        <v>13</v>
      </c>
      <c r="D31" s="6" t="s">
        <v>9</v>
      </c>
      <c r="E31" s="6" t="s">
        <v>15</v>
      </c>
      <c r="F31" s="52" t="s">
        <v>198</v>
      </c>
      <c r="G31" s="41">
        <v>2022</v>
      </c>
      <c r="H31" s="41">
        <v>2026</v>
      </c>
      <c r="I31" s="40">
        <v>30000000</v>
      </c>
      <c r="J31" s="26">
        <v>10000000</v>
      </c>
      <c r="K31" s="40">
        <f>SUM(I31:J31)</f>
        <v>40000000</v>
      </c>
      <c r="L31" s="42">
        <v>5700000</v>
      </c>
      <c r="M31" s="24">
        <f t="shared" si="0"/>
        <v>45700000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</row>
    <row r="32" spans="1:253" ht="20.100000000000001" customHeight="1">
      <c r="A32" s="6">
        <v>28</v>
      </c>
      <c r="B32" s="12" t="s">
        <v>186</v>
      </c>
      <c r="C32" s="12" t="s">
        <v>13</v>
      </c>
      <c r="D32" s="12" t="s">
        <v>9</v>
      </c>
      <c r="E32" s="12" t="s">
        <v>7</v>
      </c>
      <c r="F32" s="41" t="s">
        <v>81</v>
      </c>
      <c r="G32" s="41">
        <v>2021</v>
      </c>
      <c r="H32" s="41">
        <v>2025</v>
      </c>
      <c r="I32" s="24"/>
      <c r="J32" s="24"/>
      <c r="K32" s="24"/>
      <c r="L32" s="42">
        <v>6330000</v>
      </c>
      <c r="M32" s="24">
        <f t="shared" si="0"/>
        <v>6330000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</row>
    <row r="33" spans="1:253" s="5" customFormat="1" ht="20.100000000000001" customHeight="1">
      <c r="A33" s="6">
        <v>29</v>
      </c>
      <c r="B33" s="10" t="s">
        <v>171</v>
      </c>
      <c r="C33" s="10" t="s">
        <v>185</v>
      </c>
      <c r="D33" s="10" t="s">
        <v>9</v>
      </c>
      <c r="E33" s="10" t="s">
        <v>7</v>
      </c>
      <c r="F33" s="41" t="s">
        <v>31</v>
      </c>
      <c r="G33" s="41">
        <v>2022</v>
      </c>
      <c r="H33" s="41">
        <v>2026</v>
      </c>
      <c r="I33" s="28"/>
      <c r="J33" s="28"/>
      <c r="K33" s="28"/>
      <c r="L33" s="42">
        <v>4890000</v>
      </c>
      <c r="M33" s="24">
        <f t="shared" si="0"/>
        <v>4890000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</row>
    <row r="34" spans="1:253" s="5" customFormat="1" ht="20.100000000000001" customHeight="1">
      <c r="A34" s="6">
        <v>30</v>
      </c>
      <c r="B34" s="10" t="s">
        <v>171</v>
      </c>
      <c r="C34" s="10" t="s">
        <v>185</v>
      </c>
      <c r="D34" s="10" t="s">
        <v>9</v>
      </c>
      <c r="E34" s="10" t="s">
        <v>7</v>
      </c>
      <c r="F34" s="41" t="s">
        <v>71</v>
      </c>
      <c r="G34" s="48">
        <v>2023</v>
      </c>
      <c r="H34" s="48">
        <v>2027</v>
      </c>
      <c r="I34" s="28"/>
      <c r="J34" s="28"/>
      <c r="K34" s="28"/>
      <c r="L34" s="49">
        <v>3870000</v>
      </c>
      <c r="M34" s="24">
        <f t="shared" si="0"/>
        <v>3870000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</row>
    <row r="35" spans="1:253" s="5" customFormat="1" ht="20.100000000000001" customHeight="1">
      <c r="A35" s="6">
        <v>31</v>
      </c>
      <c r="B35" s="10" t="s">
        <v>171</v>
      </c>
      <c r="C35" s="10" t="s">
        <v>185</v>
      </c>
      <c r="D35" s="10" t="s">
        <v>187</v>
      </c>
      <c r="E35" s="10" t="s">
        <v>7</v>
      </c>
      <c r="F35" s="41" t="s">
        <v>239</v>
      </c>
      <c r="G35" s="48">
        <v>2024</v>
      </c>
      <c r="H35" s="48">
        <v>2028</v>
      </c>
      <c r="I35" s="28"/>
      <c r="J35" s="28"/>
      <c r="K35" s="28"/>
      <c r="L35" s="49">
        <v>4440000</v>
      </c>
      <c r="M35" s="24">
        <f t="shared" si="0"/>
        <v>4440000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</row>
    <row r="36" spans="1:253" s="5" customFormat="1" ht="20.100000000000001" customHeight="1">
      <c r="A36" s="6">
        <v>32</v>
      </c>
      <c r="B36" s="10" t="s">
        <v>171</v>
      </c>
      <c r="C36" s="10" t="s">
        <v>185</v>
      </c>
      <c r="D36" s="10" t="s">
        <v>187</v>
      </c>
      <c r="E36" s="10" t="s">
        <v>7</v>
      </c>
      <c r="F36" s="41" t="s">
        <v>240</v>
      </c>
      <c r="G36" s="48">
        <v>2024</v>
      </c>
      <c r="H36" s="48">
        <v>2028</v>
      </c>
      <c r="I36" s="28"/>
      <c r="J36" s="28"/>
      <c r="K36" s="28"/>
      <c r="L36" s="49">
        <v>4050000</v>
      </c>
      <c r="M36" s="24">
        <f t="shared" si="0"/>
        <v>4050000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</row>
    <row r="37" spans="1:253" s="5" customFormat="1" ht="20.100000000000001" customHeight="1">
      <c r="A37" s="6">
        <v>33</v>
      </c>
      <c r="B37" s="10" t="s">
        <v>171</v>
      </c>
      <c r="C37" s="10" t="s">
        <v>185</v>
      </c>
      <c r="D37" s="10" t="s">
        <v>187</v>
      </c>
      <c r="E37" s="10" t="s">
        <v>7</v>
      </c>
      <c r="F37" s="41" t="s">
        <v>241</v>
      </c>
      <c r="G37" s="48">
        <v>2024</v>
      </c>
      <c r="H37" s="48">
        <v>2028</v>
      </c>
      <c r="I37" s="28"/>
      <c r="J37" s="28"/>
      <c r="K37" s="28"/>
      <c r="L37" s="49">
        <v>7680000</v>
      </c>
      <c r="M37" s="24">
        <f t="shared" si="0"/>
        <v>7680000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</row>
    <row r="38" spans="1:253" s="5" customFormat="1" ht="20.100000000000001" customHeight="1">
      <c r="A38" s="6">
        <v>34</v>
      </c>
      <c r="B38" s="10" t="s">
        <v>171</v>
      </c>
      <c r="C38" s="10" t="s">
        <v>185</v>
      </c>
      <c r="D38" s="10" t="s">
        <v>187</v>
      </c>
      <c r="E38" s="10" t="s">
        <v>7</v>
      </c>
      <c r="F38" s="41" t="s">
        <v>242</v>
      </c>
      <c r="G38" s="48">
        <v>2024</v>
      </c>
      <c r="H38" s="48">
        <v>2028</v>
      </c>
      <c r="I38" s="28"/>
      <c r="J38" s="28"/>
      <c r="K38" s="28"/>
      <c r="L38" s="49">
        <v>4230000</v>
      </c>
      <c r="M38" s="24">
        <f t="shared" si="0"/>
        <v>4230000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</row>
    <row r="39" spans="1:253" s="5" customFormat="1" ht="20.100000000000001" customHeight="1">
      <c r="A39" s="6">
        <v>35</v>
      </c>
      <c r="B39" s="10" t="s">
        <v>171</v>
      </c>
      <c r="C39" s="10" t="s">
        <v>185</v>
      </c>
      <c r="D39" s="10" t="s">
        <v>187</v>
      </c>
      <c r="E39" s="10" t="s">
        <v>7</v>
      </c>
      <c r="F39" s="41" t="s">
        <v>243</v>
      </c>
      <c r="G39" s="48">
        <v>2024</v>
      </c>
      <c r="H39" s="48">
        <v>2028</v>
      </c>
      <c r="I39" s="28"/>
      <c r="J39" s="28"/>
      <c r="K39" s="28"/>
      <c r="L39" s="49">
        <v>4920000</v>
      </c>
      <c r="M39" s="24">
        <f t="shared" si="0"/>
        <v>4920000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</row>
    <row r="40" spans="1:253" s="5" customFormat="1" ht="20.100000000000001" customHeight="1">
      <c r="A40" s="6">
        <v>36</v>
      </c>
      <c r="B40" s="10" t="s">
        <v>171</v>
      </c>
      <c r="C40" s="10" t="s">
        <v>185</v>
      </c>
      <c r="D40" s="10" t="s">
        <v>187</v>
      </c>
      <c r="E40" s="10" t="s">
        <v>7</v>
      </c>
      <c r="F40" s="41" t="s">
        <v>206</v>
      </c>
      <c r="G40" s="48">
        <v>2021</v>
      </c>
      <c r="H40" s="48">
        <v>2025</v>
      </c>
      <c r="I40" s="28"/>
      <c r="J40" s="28"/>
      <c r="K40" s="28"/>
      <c r="L40" s="49">
        <v>4770000</v>
      </c>
      <c r="M40" s="24">
        <f t="shared" si="0"/>
        <v>4770000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</row>
    <row r="41" spans="1:253" s="5" customFormat="1" ht="20.100000000000001" customHeight="1">
      <c r="A41" s="6">
        <v>37</v>
      </c>
      <c r="B41" s="10" t="s">
        <v>171</v>
      </c>
      <c r="C41" s="10" t="s">
        <v>185</v>
      </c>
      <c r="D41" s="10" t="s">
        <v>187</v>
      </c>
      <c r="E41" s="10" t="s">
        <v>7</v>
      </c>
      <c r="F41" s="41" t="s">
        <v>244</v>
      </c>
      <c r="G41" s="48">
        <v>2024</v>
      </c>
      <c r="H41" s="48">
        <v>2028</v>
      </c>
      <c r="I41" s="28"/>
      <c r="J41" s="28"/>
      <c r="K41" s="28"/>
      <c r="L41" s="49">
        <v>5010000</v>
      </c>
      <c r="M41" s="24">
        <f t="shared" si="0"/>
        <v>5010000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</row>
    <row r="42" spans="1:253" ht="20.100000000000001" customHeight="1">
      <c r="A42" s="6">
        <v>38</v>
      </c>
      <c r="B42" s="10" t="s">
        <v>171</v>
      </c>
      <c r="C42" s="10" t="s">
        <v>185</v>
      </c>
      <c r="D42" s="10" t="s">
        <v>187</v>
      </c>
      <c r="E42" s="10" t="s">
        <v>7</v>
      </c>
      <c r="F42" s="41" t="s">
        <v>245</v>
      </c>
      <c r="G42" s="48">
        <v>2024</v>
      </c>
      <c r="H42" s="48">
        <v>2028</v>
      </c>
      <c r="I42" s="28"/>
      <c r="J42" s="28"/>
      <c r="K42" s="28"/>
      <c r="L42" s="49">
        <v>3570000</v>
      </c>
      <c r="M42" s="24">
        <f t="shared" si="0"/>
        <v>3570000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</row>
    <row r="43" spans="1:253" ht="20.100000000000001" customHeight="1">
      <c r="A43" s="6">
        <v>39</v>
      </c>
      <c r="B43" s="10" t="s">
        <v>171</v>
      </c>
      <c r="C43" s="10" t="s">
        <v>185</v>
      </c>
      <c r="D43" s="10" t="s">
        <v>187</v>
      </c>
      <c r="E43" s="10" t="s">
        <v>7</v>
      </c>
      <c r="F43" s="41" t="s">
        <v>287</v>
      </c>
      <c r="G43" s="48">
        <v>2023</v>
      </c>
      <c r="H43" s="48">
        <v>2027</v>
      </c>
      <c r="I43" s="28"/>
      <c r="J43" s="28"/>
      <c r="K43" s="28"/>
      <c r="L43" s="49">
        <v>6660000</v>
      </c>
      <c r="M43" s="24">
        <f t="shared" si="0"/>
        <v>6660000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</row>
    <row r="44" spans="1:253" ht="20.100000000000001" customHeight="1">
      <c r="A44" s="6">
        <v>40</v>
      </c>
      <c r="B44" s="10" t="s">
        <v>171</v>
      </c>
      <c r="C44" s="10" t="s">
        <v>185</v>
      </c>
      <c r="D44" s="10" t="s">
        <v>187</v>
      </c>
      <c r="E44" s="10" t="s">
        <v>7</v>
      </c>
      <c r="F44" s="41" t="s">
        <v>246</v>
      </c>
      <c r="G44" s="48">
        <v>2024</v>
      </c>
      <c r="H44" s="48">
        <v>2028</v>
      </c>
      <c r="I44" s="28"/>
      <c r="J44" s="28"/>
      <c r="K44" s="28"/>
      <c r="L44" s="49">
        <v>4920000</v>
      </c>
      <c r="M44" s="24">
        <f t="shared" si="0"/>
        <v>4920000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</row>
    <row r="45" spans="1:253" ht="20.100000000000001" customHeight="1">
      <c r="A45" s="6">
        <v>41</v>
      </c>
      <c r="B45" s="10" t="s">
        <v>171</v>
      </c>
      <c r="C45" s="10" t="s">
        <v>185</v>
      </c>
      <c r="D45" s="10" t="s">
        <v>187</v>
      </c>
      <c r="E45" s="10" t="s">
        <v>7</v>
      </c>
      <c r="F45" s="41" t="s">
        <v>247</v>
      </c>
      <c r="G45" s="48">
        <v>2024</v>
      </c>
      <c r="H45" s="48">
        <v>2028</v>
      </c>
      <c r="I45" s="28"/>
      <c r="J45" s="28"/>
      <c r="K45" s="28"/>
      <c r="L45" s="49">
        <v>5880000</v>
      </c>
      <c r="M45" s="24">
        <f t="shared" si="0"/>
        <v>5880000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</row>
    <row r="46" spans="1:253" ht="20.100000000000001" customHeight="1" thickBot="1">
      <c r="A46" s="56" t="s">
        <v>248</v>
      </c>
      <c r="B46" s="57"/>
      <c r="C46" s="57"/>
      <c r="D46" s="57"/>
      <c r="E46" s="57"/>
      <c r="F46" s="58"/>
      <c r="G46" s="17"/>
      <c r="H46" s="17"/>
      <c r="I46" s="29">
        <f>SUM(I5:I33)</f>
        <v>60000000</v>
      </c>
      <c r="J46" s="29">
        <f t="shared" ref="J46:K46" si="1">SUM(J5:J33)</f>
        <v>20000000</v>
      </c>
      <c r="K46" s="29">
        <f t="shared" si="1"/>
        <v>80000000</v>
      </c>
      <c r="L46" s="29">
        <f>SUM(L5:L45)</f>
        <v>225500000</v>
      </c>
      <c r="M46" s="29">
        <f t="shared" ref="M46" si="2">SUM(M5:M45)</f>
        <v>305500000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</row>
    <row r="47" spans="1:253" ht="20.100000000000001" customHeight="1" thickTop="1">
      <c r="A47" s="9">
        <v>1</v>
      </c>
      <c r="B47" s="9" t="s">
        <v>171</v>
      </c>
      <c r="C47" s="9" t="s">
        <v>11</v>
      </c>
      <c r="D47" s="9" t="s">
        <v>6</v>
      </c>
      <c r="E47" s="9" t="s">
        <v>7</v>
      </c>
      <c r="F47" s="41" t="s">
        <v>73</v>
      </c>
      <c r="G47" s="9">
        <v>2021</v>
      </c>
      <c r="H47" s="9">
        <v>2025</v>
      </c>
      <c r="I47" s="30"/>
      <c r="J47" s="30"/>
      <c r="K47" s="30"/>
      <c r="L47" s="39">
        <v>7050000</v>
      </c>
      <c r="M47" s="24">
        <f t="shared" ref="M47:M78" si="3">SUM(K47:L47)</f>
        <v>7050000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</row>
    <row r="48" spans="1:253" ht="20.100000000000001" customHeight="1">
      <c r="A48" s="6">
        <v>2</v>
      </c>
      <c r="B48" s="6" t="s">
        <v>171</v>
      </c>
      <c r="C48" s="6" t="s">
        <v>11</v>
      </c>
      <c r="D48" s="6" t="s">
        <v>6</v>
      </c>
      <c r="E48" s="6" t="s">
        <v>7</v>
      </c>
      <c r="F48" s="41" t="s">
        <v>117</v>
      </c>
      <c r="G48" s="6">
        <v>2021</v>
      </c>
      <c r="H48" s="6">
        <v>2025</v>
      </c>
      <c r="I48" s="24"/>
      <c r="J48" s="24"/>
      <c r="K48" s="24"/>
      <c r="L48" s="24">
        <v>4080000</v>
      </c>
      <c r="M48" s="24">
        <f t="shared" si="3"/>
        <v>4080000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</row>
    <row r="49" spans="1:253" s="5" customFormat="1" ht="20.100000000000001" customHeight="1">
      <c r="A49" s="6">
        <v>3</v>
      </c>
      <c r="B49" s="6" t="s">
        <v>171</v>
      </c>
      <c r="C49" s="6" t="s">
        <v>11</v>
      </c>
      <c r="D49" s="6" t="s">
        <v>6</v>
      </c>
      <c r="E49" s="6" t="s">
        <v>7</v>
      </c>
      <c r="F49" s="41" t="s">
        <v>105</v>
      </c>
      <c r="G49" s="6">
        <v>2021</v>
      </c>
      <c r="H49" s="6">
        <v>2025</v>
      </c>
      <c r="I49" s="24"/>
      <c r="J49" s="24"/>
      <c r="K49" s="24"/>
      <c r="L49" s="24">
        <v>4380000</v>
      </c>
      <c r="M49" s="24">
        <f t="shared" si="3"/>
        <v>4380000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</row>
    <row r="50" spans="1:253" s="5" customFormat="1" ht="20.100000000000001" customHeight="1">
      <c r="A50" s="6">
        <v>4</v>
      </c>
      <c r="B50" s="6" t="s">
        <v>171</v>
      </c>
      <c r="C50" s="6" t="s">
        <v>11</v>
      </c>
      <c r="D50" s="6" t="s">
        <v>6</v>
      </c>
      <c r="E50" s="6" t="s">
        <v>7</v>
      </c>
      <c r="F50" s="41" t="s">
        <v>60</v>
      </c>
      <c r="G50" s="6">
        <v>2022</v>
      </c>
      <c r="H50" s="6">
        <v>2026</v>
      </c>
      <c r="I50" s="24"/>
      <c r="J50" s="24"/>
      <c r="K50" s="24"/>
      <c r="L50" s="24">
        <v>3480000</v>
      </c>
      <c r="M50" s="24">
        <f t="shared" si="3"/>
        <v>3480000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</row>
    <row r="51" spans="1:253" s="5" customFormat="1" ht="20.100000000000001" customHeight="1">
      <c r="A51" s="6">
        <v>5</v>
      </c>
      <c r="B51" s="6" t="s">
        <v>171</v>
      </c>
      <c r="C51" s="6" t="s">
        <v>11</v>
      </c>
      <c r="D51" s="6" t="s">
        <v>6</v>
      </c>
      <c r="E51" s="6" t="s">
        <v>7</v>
      </c>
      <c r="F51" s="41" t="s">
        <v>88</v>
      </c>
      <c r="G51" s="6">
        <v>2021</v>
      </c>
      <c r="H51" s="6">
        <v>2025</v>
      </c>
      <c r="I51" s="24"/>
      <c r="J51" s="24"/>
      <c r="K51" s="24"/>
      <c r="L51" s="24">
        <v>5550000</v>
      </c>
      <c r="M51" s="24">
        <f t="shared" si="3"/>
        <v>5550000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</row>
    <row r="52" spans="1:253" s="5" customFormat="1" ht="20.100000000000001" customHeight="1">
      <c r="A52" s="6">
        <v>6</v>
      </c>
      <c r="B52" s="6" t="s">
        <v>171</v>
      </c>
      <c r="C52" s="6" t="s">
        <v>11</v>
      </c>
      <c r="D52" s="6" t="s">
        <v>6</v>
      </c>
      <c r="E52" s="6" t="s">
        <v>7</v>
      </c>
      <c r="F52" s="41" t="s">
        <v>36</v>
      </c>
      <c r="G52" s="6">
        <v>2022</v>
      </c>
      <c r="H52" s="6">
        <v>2026</v>
      </c>
      <c r="I52" s="24"/>
      <c r="J52" s="24"/>
      <c r="K52" s="24"/>
      <c r="L52" s="24">
        <v>4230000</v>
      </c>
      <c r="M52" s="24">
        <f t="shared" si="3"/>
        <v>4230000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</row>
    <row r="53" spans="1:253" ht="20.100000000000001" customHeight="1">
      <c r="A53" s="6">
        <v>7</v>
      </c>
      <c r="B53" s="6" t="s">
        <v>171</v>
      </c>
      <c r="C53" s="6" t="s">
        <v>11</v>
      </c>
      <c r="D53" s="6" t="s">
        <v>6</v>
      </c>
      <c r="E53" s="6" t="s">
        <v>7</v>
      </c>
      <c r="F53" s="41" t="s">
        <v>249</v>
      </c>
      <c r="G53" s="6">
        <v>2024</v>
      </c>
      <c r="H53" s="6">
        <v>2028</v>
      </c>
      <c r="I53" s="24"/>
      <c r="J53" s="24"/>
      <c r="K53" s="24"/>
      <c r="L53" s="24">
        <v>3570000</v>
      </c>
      <c r="M53" s="24">
        <f t="shared" si="3"/>
        <v>3570000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</row>
    <row r="54" spans="1:253" ht="20.100000000000001" customHeight="1">
      <c r="A54" s="6">
        <v>8</v>
      </c>
      <c r="B54" s="6" t="s">
        <v>171</v>
      </c>
      <c r="C54" s="6" t="s">
        <v>11</v>
      </c>
      <c r="D54" s="6" t="s">
        <v>6</v>
      </c>
      <c r="E54" s="6" t="s">
        <v>7</v>
      </c>
      <c r="F54" s="41" t="s">
        <v>74</v>
      </c>
      <c r="G54" s="6">
        <v>2021</v>
      </c>
      <c r="H54" s="6">
        <v>2025</v>
      </c>
      <c r="I54" s="24"/>
      <c r="J54" s="24"/>
      <c r="K54" s="24"/>
      <c r="L54" s="24">
        <v>6540000</v>
      </c>
      <c r="M54" s="24">
        <f t="shared" si="3"/>
        <v>6540000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</row>
    <row r="55" spans="1:253" ht="20.100000000000001" customHeight="1">
      <c r="A55" s="6">
        <v>9</v>
      </c>
      <c r="B55" s="6" t="s">
        <v>171</v>
      </c>
      <c r="C55" s="7" t="s">
        <v>11</v>
      </c>
      <c r="D55" s="7" t="s">
        <v>6</v>
      </c>
      <c r="E55" s="7" t="s">
        <v>7</v>
      </c>
      <c r="F55" s="41" t="s">
        <v>76</v>
      </c>
      <c r="G55" s="6">
        <v>2021</v>
      </c>
      <c r="H55" s="6">
        <v>2025</v>
      </c>
      <c r="I55" s="25"/>
      <c r="J55" s="25"/>
      <c r="K55" s="25"/>
      <c r="L55" s="24">
        <v>7200000</v>
      </c>
      <c r="M55" s="24">
        <f t="shared" si="3"/>
        <v>7200000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</row>
    <row r="56" spans="1:253" ht="20.100000000000001" customHeight="1">
      <c r="A56" s="6">
        <v>10</v>
      </c>
      <c r="B56" s="6" t="s">
        <v>171</v>
      </c>
      <c r="C56" s="7" t="s">
        <v>11</v>
      </c>
      <c r="D56" s="7" t="s">
        <v>6</v>
      </c>
      <c r="E56" s="7" t="s">
        <v>7</v>
      </c>
      <c r="F56" s="41" t="s">
        <v>53</v>
      </c>
      <c r="G56" s="6">
        <v>2022</v>
      </c>
      <c r="H56" s="6">
        <v>2026</v>
      </c>
      <c r="I56" s="25"/>
      <c r="J56" s="25"/>
      <c r="K56" s="25"/>
      <c r="L56" s="24">
        <v>3810000</v>
      </c>
      <c r="M56" s="24">
        <f t="shared" si="3"/>
        <v>3810000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</row>
    <row r="57" spans="1:253" ht="20.100000000000001" customHeight="1">
      <c r="A57" s="6">
        <v>11</v>
      </c>
      <c r="B57" s="6" t="s">
        <v>171</v>
      </c>
      <c r="C57" s="7" t="s">
        <v>11</v>
      </c>
      <c r="D57" s="7" t="s">
        <v>6</v>
      </c>
      <c r="E57" s="7" t="s">
        <v>7</v>
      </c>
      <c r="F57" s="41" t="s">
        <v>210</v>
      </c>
      <c r="G57" s="6">
        <v>2024</v>
      </c>
      <c r="H57" s="6">
        <v>2028</v>
      </c>
      <c r="I57" s="25"/>
      <c r="J57" s="25"/>
      <c r="K57" s="25"/>
      <c r="L57" s="24">
        <v>4020000</v>
      </c>
      <c r="M57" s="24">
        <f t="shared" si="3"/>
        <v>4020000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</row>
    <row r="58" spans="1:253" ht="20.100000000000001" customHeight="1">
      <c r="A58" s="6">
        <v>12</v>
      </c>
      <c r="B58" s="6" t="s">
        <v>171</v>
      </c>
      <c r="C58" s="7" t="s">
        <v>11</v>
      </c>
      <c r="D58" s="7" t="s">
        <v>6</v>
      </c>
      <c r="E58" s="7" t="s">
        <v>7</v>
      </c>
      <c r="F58" s="41" t="s">
        <v>57</v>
      </c>
      <c r="G58" s="6">
        <v>2022</v>
      </c>
      <c r="H58" s="6">
        <v>2026</v>
      </c>
      <c r="I58" s="25"/>
      <c r="J58" s="25"/>
      <c r="K58" s="25"/>
      <c r="L58" s="24">
        <v>3148000</v>
      </c>
      <c r="M58" s="24">
        <f t="shared" si="3"/>
        <v>3148000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</row>
    <row r="59" spans="1:253" s="5" customFormat="1" ht="20.100000000000001" customHeight="1">
      <c r="A59" s="6">
        <v>13</v>
      </c>
      <c r="B59" s="7" t="s">
        <v>171</v>
      </c>
      <c r="C59" s="7" t="s">
        <v>11</v>
      </c>
      <c r="D59" s="7" t="s">
        <v>6</v>
      </c>
      <c r="E59" s="7" t="s">
        <v>7</v>
      </c>
      <c r="F59" s="41" t="s">
        <v>12</v>
      </c>
      <c r="G59" s="7">
        <v>2022</v>
      </c>
      <c r="H59" s="6">
        <v>2026</v>
      </c>
      <c r="I59" s="25"/>
      <c r="J59" s="25"/>
      <c r="K59" s="25"/>
      <c r="L59" s="24">
        <v>7320000</v>
      </c>
      <c r="M59" s="24">
        <f t="shared" si="3"/>
        <v>7320000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</row>
    <row r="60" spans="1:253" s="5" customFormat="1" ht="20.100000000000001" customHeight="1">
      <c r="A60" s="6">
        <v>14</v>
      </c>
      <c r="B60" s="6" t="s">
        <v>171</v>
      </c>
      <c r="C60" s="6" t="s">
        <v>11</v>
      </c>
      <c r="D60" s="6" t="s">
        <v>6</v>
      </c>
      <c r="E60" s="6" t="s">
        <v>7</v>
      </c>
      <c r="F60" s="41" t="s">
        <v>144</v>
      </c>
      <c r="G60" s="6">
        <v>2024</v>
      </c>
      <c r="H60" s="6">
        <v>2028</v>
      </c>
      <c r="I60" s="24"/>
      <c r="J60" s="24"/>
      <c r="K60" s="24"/>
      <c r="L60" s="24">
        <v>3870000</v>
      </c>
      <c r="M60" s="24">
        <f t="shared" si="3"/>
        <v>3870000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</row>
    <row r="61" spans="1:253" ht="20.100000000000001" customHeight="1">
      <c r="A61" s="6">
        <v>15</v>
      </c>
      <c r="B61" s="6" t="s">
        <v>171</v>
      </c>
      <c r="C61" s="6" t="s">
        <v>11</v>
      </c>
      <c r="D61" s="6" t="s">
        <v>6</v>
      </c>
      <c r="E61" s="6" t="s">
        <v>7</v>
      </c>
      <c r="F61" s="41" t="s">
        <v>93</v>
      </c>
      <c r="G61" s="6">
        <v>2021</v>
      </c>
      <c r="H61" s="6">
        <v>2025</v>
      </c>
      <c r="I61" s="24"/>
      <c r="J61" s="24"/>
      <c r="K61" s="24"/>
      <c r="L61" s="24">
        <v>4230000</v>
      </c>
      <c r="M61" s="24">
        <f t="shared" si="3"/>
        <v>4230000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</row>
    <row r="62" spans="1:253" ht="20.100000000000001" customHeight="1">
      <c r="A62" s="6">
        <v>16</v>
      </c>
      <c r="B62" s="6" t="s">
        <v>171</v>
      </c>
      <c r="C62" s="6" t="s">
        <v>11</v>
      </c>
      <c r="D62" s="6" t="s">
        <v>6</v>
      </c>
      <c r="E62" s="6" t="s">
        <v>7</v>
      </c>
      <c r="F62" s="41" t="s">
        <v>41</v>
      </c>
      <c r="G62" s="6">
        <v>2022</v>
      </c>
      <c r="H62" s="6">
        <v>2026</v>
      </c>
      <c r="I62" s="24"/>
      <c r="J62" s="24"/>
      <c r="K62" s="24"/>
      <c r="L62" s="24">
        <v>4210000</v>
      </c>
      <c r="M62" s="24">
        <f t="shared" si="3"/>
        <v>4210000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</row>
    <row r="63" spans="1:253" ht="20.100000000000001" customHeight="1">
      <c r="A63" s="6">
        <v>17</v>
      </c>
      <c r="B63" s="6" t="s">
        <v>171</v>
      </c>
      <c r="C63" s="6" t="s">
        <v>11</v>
      </c>
      <c r="D63" s="6" t="s">
        <v>6</v>
      </c>
      <c r="E63" s="6" t="s">
        <v>7</v>
      </c>
      <c r="F63" s="41" t="s">
        <v>40</v>
      </c>
      <c r="G63" s="6">
        <v>2022</v>
      </c>
      <c r="H63" s="6">
        <v>2026</v>
      </c>
      <c r="I63" s="24"/>
      <c r="J63" s="24"/>
      <c r="K63" s="24"/>
      <c r="L63" s="24">
        <v>5130000</v>
      </c>
      <c r="M63" s="24">
        <f t="shared" si="3"/>
        <v>5130000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</row>
    <row r="64" spans="1:253" ht="20.100000000000001" customHeight="1">
      <c r="A64" s="6">
        <v>18</v>
      </c>
      <c r="B64" s="6" t="s">
        <v>171</v>
      </c>
      <c r="C64" s="6" t="s">
        <v>11</v>
      </c>
      <c r="D64" s="6" t="s">
        <v>6</v>
      </c>
      <c r="E64" s="6" t="s">
        <v>7</v>
      </c>
      <c r="F64" s="41" t="s">
        <v>91</v>
      </c>
      <c r="G64" s="6">
        <v>2021</v>
      </c>
      <c r="H64" s="6">
        <v>2025</v>
      </c>
      <c r="I64" s="24"/>
      <c r="J64" s="24"/>
      <c r="K64" s="24"/>
      <c r="L64" s="24">
        <v>4950000</v>
      </c>
      <c r="M64" s="24">
        <f t="shared" si="3"/>
        <v>4950000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</row>
    <row r="65" spans="1:253" ht="20.100000000000001" customHeight="1">
      <c r="A65" s="6">
        <v>19</v>
      </c>
      <c r="B65" s="6" t="s">
        <v>171</v>
      </c>
      <c r="C65" s="6" t="s">
        <v>11</v>
      </c>
      <c r="D65" s="6" t="s">
        <v>6</v>
      </c>
      <c r="E65" s="6" t="s">
        <v>7</v>
      </c>
      <c r="F65" s="41" t="s">
        <v>59</v>
      </c>
      <c r="G65" s="6">
        <v>2024</v>
      </c>
      <c r="H65" s="6">
        <v>2028</v>
      </c>
      <c r="I65" s="24"/>
      <c r="J65" s="24"/>
      <c r="K65" s="24"/>
      <c r="L65" s="24">
        <v>3510000</v>
      </c>
      <c r="M65" s="24">
        <f t="shared" si="3"/>
        <v>3510000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</row>
    <row r="66" spans="1:253" ht="20.100000000000001" customHeight="1">
      <c r="A66" s="6">
        <v>20</v>
      </c>
      <c r="B66" s="7" t="s">
        <v>171</v>
      </c>
      <c r="C66" s="7" t="s">
        <v>11</v>
      </c>
      <c r="D66" s="7" t="s">
        <v>6</v>
      </c>
      <c r="E66" s="7" t="s">
        <v>7</v>
      </c>
      <c r="F66" s="41" t="s">
        <v>162</v>
      </c>
      <c r="G66" s="7">
        <v>2024</v>
      </c>
      <c r="H66" s="6">
        <v>2028</v>
      </c>
      <c r="I66" s="25"/>
      <c r="J66" s="25"/>
      <c r="K66" s="25"/>
      <c r="L66" s="24">
        <v>4080000</v>
      </c>
      <c r="M66" s="24">
        <f t="shared" si="3"/>
        <v>4080000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</row>
    <row r="67" spans="1:253" ht="20.100000000000001" customHeight="1">
      <c r="A67" s="6">
        <v>21</v>
      </c>
      <c r="B67" s="7" t="s">
        <v>171</v>
      </c>
      <c r="C67" s="7" t="s">
        <v>11</v>
      </c>
      <c r="D67" s="7" t="s">
        <v>6</v>
      </c>
      <c r="E67" s="7" t="s">
        <v>7</v>
      </c>
      <c r="F67" s="41" t="s">
        <v>48</v>
      </c>
      <c r="G67" s="7">
        <v>2023</v>
      </c>
      <c r="H67" s="6">
        <v>2027</v>
      </c>
      <c r="I67" s="25"/>
      <c r="J67" s="25"/>
      <c r="K67" s="25"/>
      <c r="L67" s="24">
        <v>3900000</v>
      </c>
      <c r="M67" s="24">
        <f t="shared" si="3"/>
        <v>3900000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</row>
    <row r="68" spans="1:253" ht="20.100000000000001" customHeight="1">
      <c r="A68" s="6">
        <v>22</v>
      </c>
      <c r="B68" s="7" t="s">
        <v>171</v>
      </c>
      <c r="C68" s="7" t="s">
        <v>11</v>
      </c>
      <c r="D68" s="7" t="s">
        <v>6</v>
      </c>
      <c r="E68" s="7" t="s">
        <v>7</v>
      </c>
      <c r="F68" s="41" t="s">
        <v>58</v>
      </c>
      <c r="G68" s="8">
        <v>2022</v>
      </c>
      <c r="H68" s="8">
        <v>2026</v>
      </c>
      <c r="I68" s="27"/>
      <c r="J68" s="27"/>
      <c r="K68" s="27"/>
      <c r="L68" s="27">
        <v>5280000</v>
      </c>
      <c r="M68" s="24">
        <f t="shared" si="3"/>
        <v>5280000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</row>
    <row r="69" spans="1:253" ht="20.100000000000001" customHeight="1">
      <c r="A69" s="6">
        <v>23</v>
      </c>
      <c r="B69" s="6" t="s">
        <v>186</v>
      </c>
      <c r="C69" s="6" t="s">
        <v>188</v>
      </c>
      <c r="D69" s="6" t="s">
        <v>6</v>
      </c>
      <c r="E69" s="6" t="s">
        <v>7</v>
      </c>
      <c r="F69" s="41" t="s">
        <v>94</v>
      </c>
      <c r="G69" s="6">
        <v>2021</v>
      </c>
      <c r="H69" s="6">
        <v>2025</v>
      </c>
      <c r="I69" s="24"/>
      <c r="J69" s="24"/>
      <c r="K69" s="24"/>
      <c r="L69" s="24">
        <v>3630000</v>
      </c>
      <c r="M69" s="24">
        <f t="shared" si="3"/>
        <v>3630000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</row>
    <row r="70" spans="1:253" ht="20.100000000000001" customHeight="1">
      <c r="A70" s="6">
        <v>24</v>
      </c>
      <c r="B70" s="7" t="s">
        <v>171</v>
      </c>
      <c r="C70" s="7" t="s">
        <v>11</v>
      </c>
      <c r="D70" s="6" t="s">
        <v>6</v>
      </c>
      <c r="E70" s="6" t="s">
        <v>7</v>
      </c>
      <c r="F70" s="41" t="s">
        <v>140</v>
      </c>
      <c r="G70" s="6">
        <v>2022</v>
      </c>
      <c r="H70" s="6">
        <v>2026</v>
      </c>
      <c r="I70" s="24"/>
      <c r="J70" s="24"/>
      <c r="K70" s="24"/>
      <c r="L70" s="24">
        <v>4470000</v>
      </c>
      <c r="M70" s="24">
        <f t="shared" si="3"/>
        <v>4470000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</row>
    <row r="71" spans="1:253" ht="20.100000000000001" customHeight="1">
      <c r="A71" s="6">
        <v>25</v>
      </c>
      <c r="B71" s="7" t="s">
        <v>171</v>
      </c>
      <c r="C71" s="7" t="s">
        <v>11</v>
      </c>
      <c r="D71" s="6" t="s">
        <v>6</v>
      </c>
      <c r="E71" s="6" t="s">
        <v>7</v>
      </c>
      <c r="F71" s="41" t="s">
        <v>163</v>
      </c>
      <c r="G71" s="6">
        <v>2024</v>
      </c>
      <c r="H71" s="6">
        <v>2028</v>
      </c>
      <c r="I71" s="24"/>
      <c r="J71" s="24"/>
      <c r="K71" s="24"/>
      <c r="L71" s="24">
        <v>3990000</v>
      </c>
      <c r="M71" s="24">
        <f t="shared" si="3"/>
        <v>3990000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</row>
    <row r="72" spans="1:253" ht="20.100000000000001" customHeight="1">
      <c r="A72" s="6">
        <v>26</v>
      </c>
      <c r="B72" s="6" t="s">
        <v>186</v>
      </c>
      <c r="C72" s="6" t="s">
        <v>188</v>
      </c>
      <c r="D72" s="6" t="s">
        <v>9</v>
      </c>
      <c r="E72" s="6" t="s">
        <v>7</v>
      </c>
      <c r="F72" s="41" t="s">
        <v>126</v>
      </c>
      <c r="G72" s="6">
        <v>2024</v>
      </c>
      <c r="H72" s="6">
        <v>2028</v>
      </c>
      <c r="I72" s="24"/>
      <c r="J72" s="24"/>
      <c r="K72" s="24"/>
      <c r="L72" s="24">
        <v>3750000</v>
      </c>
      <c r="M72" s="24">
        <f t="shared" si="3"/>
        <v>3750000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</row>
    <row r="73" spans="1:253" ht="20.100000000000001" customHeight="1">
      <c r="A73" s="6">
        <v>27</v>
      </c>
      <c r="B73" s="7" t="s">
        <v>171</v>
      </c>
      <c r="C73" s="7" t="s">
        <v>11</v>
      </c>
      <c r="D73" s="6" t="s">
        <v>9</v>
      </c>
      <c r="E73" s="6" t="s">
        <v>7</v>
      </c>
      <c r="F73" s="41" t="s">
        <v>143</v>
      </c>
      <c r="G73" s="6">
        <v>2022</v>
      </c>
      <c r="H73" s="6">
        <v>2026</v>
      </c>
      <c r="I73" s="24"/>
      <c r="J73" s="24"/>
      <c r="K73" s="24"/>
      <c r="L73" s="24">
        <v>4380000</v>
      </c>
      <c r="M73" s="24">
        <f t="shared" si="3"/>
        <v>4380000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</row>
    <row r="74" spans="1:253" ht="20.100000000000001" customHeight="1">
      <c r="A74" s="6">
        <v>28</v>
      </c>
      <c r="B74" s="7" t="s">
        <v>171</v>
      </c>
      <c r="C74" s="7" t="s">
        <v>11</v>
      </c>
      <c r="D74" s="6" t="s">
        <v>9</v>
      </c>
      <c r="E74" s="6" t="s">
        <v>7</v>
      </c>
      <c r="F74" s="41" t="s">
        <v>130</v>
      </c>
      <c r="G74" s="6">
        <v>2024</v>
      </c>
      <c r="H74" s="6">
        <v>2028</v>
      </c>
      <c r="I74" s="24"/>
      <c r="J74" s="24"/>
      <c r="K74" s="24"/>
      <c r="L74" s="24">
        <v>3780000</v>
      </c>
      <c r="M74" s="24">
        <f t="shared" si="3"/>
        <v>3780000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</row>
    <row r="75" spans="1:253" ht="20.100000000000001" customHeight="1">
      <c r="A75" s="6">
        <v>29</v>
      </c>
      <c r="B75" s="6" t="s">
        <v>186</v>
      </c>
      <c r="C75" s="6" t="s">
        <v>188</v>
      </c>
      <c r="D75" s="6" t="s">
        <v>9</v>
      </c>
      <c r="E75" s="6" t="s">
        <v>7</v>
      </c>
      <c r="F75" s="41" t="s">
        <v>149</v>
      </c>
      <c r="G75" s="6">
        <v>2023</v>
      </c>
      <c r="H75" s="6">
        <v>2027</v>
      </c>
      <c r="I75" s="24"/>
      <c r="J75" s="24"/>
      <c r="K75" s="24"/>
      <c r="L75" s="24">
        <v>4320000</v>
      </c>
      <c r="M75" s="24">
        <f t="shared" si="3"/>
        <v>4320000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</row>
    <row r="76" spans="1:253" ht="20.100000000000001" customHeight="1">
      <c r="A76" s="6">
        <v>30</v>
      </c>
      <c r="B76" s="7" t="s">
        <v>171</v>
      </c>
      <c r="C76" s="7" t="s">
        <v>11</v>
      </c>
      <c r="D76" s="6" t="s">
        <v>9</v>
      </c>
      <c r="E76" s="6" t="s">
        <v>7</v>
      </c>
      <c r="F76" s="41" t="s">
        <v>101</v>
      </c>
      <c r="G76" s="6">
        <v>2021</v>
      </c>
      <c r="H76" s="6">
        <v>2025</v>
      </c>
      <c r="I76" s="24"/>
      <c r="J76" s="24"/>
      <c r="K76" s="24"/>
      <c r="L76" s="24">
        <v>4260000</v>
      </c>
      <c r="M76" s="24">
        <f t="shared" si="3"/>
        <v>4260000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</row>
    <row r="77" spans="1:253" ht="20.100000000000001" customHeight="1">
      <c r="A77" s="6">
        <v>31</v>
      </c>
      <c r="B77" s="7" t="s">
        <v>171</v>
      </c>
      <c r="C77" s="7" t="s">
        <v>11</v>
      </c>
      <c r="D77" s="6" t="s">
        <v>9</v>
      </c>
      <c r="E77" s="6" t="s">
        <v>7</v>
      </c>
      <c r="F77" s="41" t="s">
        <v>21</v>
      </c>
      <c r="G77" s="6">
        <v>2022</v>
      </c>
      <c r="H77" s="6">
        <v>2026</v>
      </c>
      <c r="I77" s="24"/>
      <c r="J77" s="24"/>
      <c r="K77" s="24"/>
      <c r="L77" s="24">
        <v>5610000</v>
      </c>
      <c r="M77" s="24">
        <f t="shared" si="3"/>
        <v>5610000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</row>
    <row r="78" spans="1:253" ht="20.100000000000001" customHeight="1">
      <c r="A78" s="6">
        <v>32</v>
      </c>
      <c r="B78" s="6" t="s">
        <v>186</v>
      </c>
      <c r="C78" s="6" t="s">
        <v>188</v>
      </c>
      <c r="D78" s="6" t="s">
        <v>9</v>
      </c>
      <c r="E78" s="6" t="s">
        <v>7</v>
      </c>
      <c r="F78" s="41" t="s">
        <v>136</v>
      </c>
      <c r="G78" s="6">
        <v>2024</v>
      </c>
      <c r="H78" s="6">
        <v>2028</v>
      </c>
      <c r="I78" s="24"/>
      <c r="J78" s="24"/>
      <c r="K78" s="24"/>
      <c r="L78" s="24">
        <v>4470000</v>
      </c>
      <c r="M78" s="24">
        <f t="shared" si="3"/>
        <v>4470000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</row>
    <row r="79" spans="1:253" ht="20.100000000000001" customHeight="1">
      <c r="A79" s="6">
        <v>33</v>
      </c>
      <c r="B79" s="7" t="s">
        <v>171</v>
      </c>
      <c r="C79" s="7" t="s">
        <v>11</v>
      </c>
      <c r="D79" s="6" t="s">
        <v>9</v>
      </c>
      <c r="E79" s="6" t="s">
        <v>7</v>
      </c>
      <c r="F79" s="41" t="s">
        <v>111</v>
      </c>
      <c r="G79" s="6">
        <v>2021</v>
      </c>
      <c r="H79" s="6">
        <v>2025</v>
      </c>
      <c r="I79" s="24"/>
      <c r="J79" s="24"/>
      <c r="K79" s="24"/>
      <c r="L79" s="24">
        <v>4650000</v>
      </c>
      <c r="M79" s="24">
        <f t="shared" ref="M79:M105" si="4">SUM(K79:L79)</f>
        <v>4650000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</row>
    <row r="80" spans="1:253" s="5" customFormat="1" ht="20.100000000000001" customHeight="1">
      <c r="A80" s="6">
        <v>34</v>
      </c>
      <c r="B80" s="7" t="s">
        <v>171</v>
      </c>
      <c r="C80" s="7" t="s">
        <v>11</v>
      </c>
      <c r="D80" s="6" t="s">
        <v>9</v>
      </c>
      <c r="E80" s="6" t="s">
        <v>7</v>
      </c>
      <c r="F80" s="41" t="s">
        <v>46</v>
      </c>
      <c r="G80" s="6">
        <v>2022</v>
      </c>
      <c r="H80" s="6">
        <v>2026</v>
      </c>
      <c r="I80" s="24"/>
      <c r="J80" s="24"/>
      <c r="K80" s="24"/>
      <c r="L80" s="24">
        <v>4590000</v>
      </c>
      <c r="M80" s="24">
        <f t="shared" si="4"/>
        <v>4590000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</row>
    <row r="81" spans="1:253" s="5" customFormat="1" ht="20.100000000000001" customHeight="1">
      <c r="A81" s="6">
        <v>35</v>
      </c>
      <c r="B81" s="6" t="s">
        <v>186</v>
      </c>
      <c r="C81" s="6" t="s">
        <v>188</v>
      </c>
      <c r="D81" s="6" t="s">
        <v>9</v>
      </c>
      <c r="E81" s="6" t="s">
        <v>7</v>
      </c>
      <c r="F81" s="41" t="s">
        <v>45</v>
      </c>
      <c r="G81" s="6">
        <v>2022</v>
      </c>
      <c r="H81" s="6">
        <v>2026</v>
      </c>
      <c r="I81" s="24"/>
      <c r="J81" s="24"/>
      <c r="K81" s="24"/>
      <c r="L81" s="24">
        <v>3780000</v>
      </c>
      <c r="M81" s="24">
        <f t="shared" si="4"/>
        <v>3780000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</row>
    <row r="82" spans="1:253" s="5" customFormat="1" ht="20.100000000000001" customHeight="1">
      <c r="A82" s="6">
        <v>36</v>
      </c>
      <c r="B82" s="7" t="s">
        <v>171</v>
      </c>
      <c r="C82" s="7" t="s">
        <v>11</v>
      </c>
      <c r="D82" s="6" t="s">
        <v>9</v>
      </c>
      <c r="E82" s="6" t="s">
        <v>7</v>
      </c>
      <c r="F82" s="41" t="s">
        <v>142</v>
      </c>
      <c r="G82" s="6">
        <v>2022</v>
      </c>
      <c r="H82" s="6">
        <v>2026</v>
      </c>
      <c r="I82" s="24"/>
      <c r="J82" s="24"/>
      <c r="K82" s="24"/>
      <c r="L82" s="24">
        <v>3960000</v>
      </c>
      <c r="M82" s="24">
        <f t="shared" si="4"/>
        <v>3960000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</row>
    <row r="83" spans="1:253" s="5" customFormat="1" ht="20.100000000000001" customHeight="1">
      <c r="A83" s="6">
        <v>37</v>
      </c>
      <c r="B83" s="7" t="s">
        <v>171</v>
      </c>
      <c r="C83" s="7" t="s">
        <v>11</v>
      </c>
      <c r="D83" s="6" t="s">
        <v>9</v>
      </c>
      <c r="E83" s="6" t="s">
        <v>7</v>
      </c>
      <c r="F83" s="41" t="s">
        <v>65</v>
      </c>
      <c r="G83" s="6">
        <v>2022</v>
      </c>
      <c r="H83" s="6">
        <v>2026</v>
      </c>
      <c r="I83" s="24"/>
      <c r="J83" s="24"/>
      <c r="K83" s="24"/>
      <c r="L83" s="24">
        <v>6030000</v>
      </c>
      <c r="M83" s="24">
        <f t="shared" si="4"/>
        <v>6030000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</row>
    <row r="84" spans="1:253" s="5" customFormat="1" ht="20.100000000000001" customHeight="1">
      <c r="A84" s="6">
        <v>38</v>
      </c>
      <c r="B84" s="6" t="s">
        <v>186</v>
      </c>
      <c r="C84" s="6" t="s">
        <v>188</v>
      </c>
      <c r="D84" s="6" t="s">
        <v>9</v>
      </c>
      <c r="E84" s="6" t="s">
        <v>7</v>
      </c>
      <c r="F84" s="41" t="s">
        <v>208</v>
      </c>
      <c r="G84" s="6">
        <v>2023</v>
      </c>
      <c r="H84" s="6">
        <v>2027</v>
      </c>
      <c r="I84" s="24"/>
      <c r="J84" s="24"/>
      <c r="K84" s="24"/>
      <c r="L84" s="24">
        <v>4110000</v>
      </c>
      <c r="M84" s="24">
        <f t="shared" si="4"/>
        <v>4110000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</row>
    <row r="85" spans="1:253" ht="20.100000000000001" customHeight="1">
      <c r="A85" s="6">
        <v>39</v>
      </c>
      <c r="B85" s="7" t="s">
        <v>171</v>
      </c>
      <c r="C85" s="7" t="s">
        <v>11</v>
      </c>
      <c r="D85" s="6" t="s">
        <v>9</v>
      </c>
      <c r="E85" s="6" t="s">
        <v>7</v>
      </c>
      <c r="F85" s="41" t="s">
        <v>250</v>
      </c>
      <c r="G85" s="6">
        <v>2024</v>
      </c>
      <c r="H85" s="6">
        <v>2028</v>
      </c>
      <c r="I85" s="24"/>
      <c r="J85" s="24"/>
      <c r="K85" s="24"/>
      <c r="L85" s="24">
        <v>3480000</v>
      </c>
      <c r="M85" s="24">
        <f t="shared" si="4"/>
        <v>3480000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</row>
    <row r="86" spans="1:253" ht="20.100000000000001" customHeight="1">
      <c r="A86" s="6">
        <v>40</v>
      </c>
      <c r="B86" s="7" t="s">
        <v>171</v>
      </c>
      <c r="C86" s="7" t="s">
        <v>11</v>
      </c>
      <c r="D86" s="6" t="s">
        <v>9</v>
      </c>
      <c r="E86" s="6" t="s">
        <v>7</v>
      </c>
      <c r="F86" s="41" t="s">
        <v>211</v>
      </c>
      <c r="G86" s="6">
        <v>2024</v>
      </c>
      <c r="H86" s="6">
        <v>2028</v>
      </c>
      <c r="I86" s="24"/>
      <c r="J86" s="24"/>
      <c r="K86" s="24"/>
      <c r="L86" s="24">
        <v>3960000</v>
      </c>
      <c r="M86" s="24">
        <f t="shared" si="4"/>
        <v>3960000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</row>
    <row r="87" spans="1:253" ht="20.100000000000001" customHeight="1">
      <c r="A87" s="6">
        <v>41</v>
      </c>
      <c r="B87" s="6" t="s">
        <v>186</v>
      </c>
      <c r="C87" s="6" t="s">
        <v>188</v>
      </c>
      <c r="D87" s="6" t="s">
        <v>9</v>
      </c>
      <c r="E87" s="6" t="s">
        <v>7</v>
      </c>
      <c r="F87" s="41" t="s">
        <v>135</v>
      </c>
      <c r="G87" s="6">
        <v>2024</v>
      </c>
      <c r="H87" s="6">
        <v>2028</v>
      </c>
      <c r="I87" s="24"/>
      <c r="J87" s="24"/>
      <c r="K87" s="24"/>
      <c r="L87" s="24">
        <v>3840000</v>
      </c>
      <c r="M87" s="24">
        <f t="shared" si="4"/>
        <v>3840000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</row>
    <row r="88" spans="1:253" ht="20.100000000000001" customHeight="1">
      <c r="A88" s="6">
        <v>42</v>
      </c>
      <c r="B88" s="7" t="s">
        <v>171</v>
      </c>
      <c r="C88" s="7" t="s">
        <v>11</v>
      </c>
      <c r="D88" s="6" t="s">
        <v>9</v>
      </c>
      <c r="E88" s="6" t="s">
        <v>7</v>
      </c>
      <c r="F88" s="41" t="s">
        <v>110</v>
      </c>
      <c r="G88" s="6">
        <v>2021</v>
      </c>
      <c r="H88" s="6">
        <v>2025</v>
      </c>
      <c r="I88" s="24"/>
      <c r="J88" s="24"/>
      <c r="K88" s="24"/>
      <c r="L88" s="24">
        <v>5250000</v>
      </c>
      <c r="M88" s="24">
        <f t="shared" si="4"/>
        <v>5250000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</row>
    <row r="89" spans="1:253" ht="20.100000000000001" customHeight="1">
      <c r="A89" s="6">
        <v>43</v>
      </c>
      <c r="B89" s="7" t="s">
        <v>171</v>
      </c>
      <c r="C89" s="7" t="s">
        <v>11</v>
      </c>
      <c r="D89" s="6" t="s">
        <v>9</v>
      </c>
      <c r="E89" s="6" t="s">
        <v>7</v>
      </c>
      <c r="F89" s="41" t="s">
        <v>156</v>
      </c>
      <c r="G89" s="6">
        <v>2024</v>
      </c>
      <c r="H89" s="6">
        <v>2028</v>
      </c>
      <c r="I89" s="24"/>
      <c r="J89" s="24"/>
      <c r="K89" s="24"/>
      <c r="L89" s="24">
        <v>4200000</v>
      </c>
      <c r="M89" s="24">
        <f t="shared" si="4"/>
        <v>4200000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</row>
    <row r="90" spans="1:253" ht="20.100000000000001" customHeight="1">
      <c r="A90" s="6">
        <v>44</v>
      </c>
      <c r="B90" s="6" t="s">
        <v>186</v>
      </c>
      <c r="C90" s="6" t="s">
        <v>188</v>
      </c>
      <c r="D90" s="6" t="s">
        <v>9</v>
      </c>
      <c r="E90" s="6" t="s">
        <v>7</v>
      </c>
      <c r="F90" s="41" t="s">
        <v>30</v>
      </c>
      <c r="G90" s="6">
        <v>2022</v>
      </c>
      <c r="H90" s="6">
        <v>2026</v>
      </c>
      <c r="I90" s="24"/>
      <c r="J90" s="24"/>
      <c r="K90" s="24"/>
      <c r="L90" s="24">
        <v>5250000</v>
      </c>
      <c r="M90" s="24">
        <f t="shared" si="4"/>
        <v>5250000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</row>
    <row r="91" spans="1:253" ht="20.100000000000001" customHeight="1">
      <c r="A91" s="6">
        <v>45</v>
      </c>
      <c r="B91" s="7" t="s">
        <v>171</v>
      </c>
      <c r="C91" s="7" t="s">
        <v>11</v>
      </c>
      <c r="D91" s="6" t="s">
        <v>9</v>
      </c>
      <c r="E91" s="6" t="s">
        <v>7</v>
      </c>
      <c r="F91" s="41" t="s">
        <v>42</v>
      </c>
      <c r="G91" s="6">
        <v>2022</v>
      </c>
      <c r="H91" s="6">
        <v>2026</v>
      </c>
      <c r="I91" s="24"/>
      <c r="J91" s="24"/>
      <c r="K91" s="24"/>
      <c r="L91" s="24">
        <v>4650000</v>
      </c>
      <c r="M91" s="24">
        <f t="shared" si="4"/>
        <v>4650000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</row>
    <row r="92" spans="1:253" s="5" customFormat="1" ht="20.100000000000001" customHeight="1">
      <c r="A92" s="6">
        <v>46</v>
      </c>
      <c r="B92" s="7" t="s">
        <v>171</v>
      </c>
      <c r="C92" s="7" t="s">
        <v>11</v>
      </c>
      <c r="D92" s="6" t="s">
        <v>9</v>
      </c>
      <c r="E92" s="6" t="s">
        <v>7</v>
      </c>
      <c r="F92" s="41" t="s">
        <v>120</v>
      </c>
      <c r="G92" s="6">
        <v>2022</v>
      </c>
      <c r="H92" s="6">
        <v>2026</v>
      </c>
      <c r="I92" s="24"/>
      <c r="J92" s="24"/>
      <c r="K92" s="24"/>
      <c r="L92" s="24">
        <v>3690000</v>
      </c>
      <c r="M92" s="24">
        <f t="shared" si="4"/>
        <v>3690000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</row>
    <row r="93" spans="1:253" ht="20.100000000000001" customHeight="1">
      <c r="A93" s="6">
        <v>47</v>
      </c>
      <c r="B93" s="6" t="s">
        <v>186</v>
      </c>
      <c r="C93" s="6" t="s">
        <v>188</v>
      </c>
      <c r="D93" s="6" t="s">
        <v>9</v>
      </c>
      <c r="E93" s="6" t="s">
        <v>7</v>
      </c>
      <c r="F93" s="41" t="s">
        <v>100</v>
      </c>
      <c r="G93" s="6">
        <v>2021</v>
      </c>
      <c r="H93" s="6">
        <v>2025</v>
      </c>
      <c r="I93" s="24"/>
      <c r="J93" s="24"/>
      <c r="K93" s="24"/>
      <c r="L93" s="24">
        <v>4680000</v>
      </c>
      <c r="M93" s="24">
        <f t="shared" si="4"/>
        <v>4680000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</row>
    <row r="94" spans="1:253" s="5" customFormat="1" ht="20.100000000000001" customHeight="1">
      <c r="A94" s="6">
        <v>48</v>
      </c>
      <c r="B94" s="7" t="s">
        <v>171</v>
      </c>
      <c r="C94" s="7" t="s">
        <v>11</v>
      </c>
      <c r="D94" s="6" t="s">
        <v>9</v>
      </c>
      <c r="E94" s="6" t="s">
        <v>7</v>
      </c>
      <c r="F94" s="41" t="s">
        <v>52</v>
      </c>
      <c r="G94" s="6">
        <v>2022</v>
      </c>
      <c r="H94" s="6">
        <v>2026</v>
      </c>
      <c r="I94" s="24"/>
      <c r="J94" s="24"/>
      <c r="K94" s="24"/>
      <c r="L94" s="24">
        <v>3960000</v>
      </c>
      <c r="M94" s="24">
        <f t="shared" si="4"/>
        <v>3960000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</row>
    <row r="95" spans="1:253" s="5" customFormat="1" ht="20.100000000000001" customHeight="1">
      <c r="A95" s="6">
        <v>49</v>
      </c>
      <c r="B95" s="7" t="s">
        <v>171</v>
      </c>
      <c r="C95" s="7" t="s">
        <v>11</v>
      </c>
      <c r="D95" s="6" t="s">
        <v>9</v>
      </c>
      <c r="E95" s="6" t="s">
        <v>7</v>
      </c>
      <c r="F95" s="41" t="s">
        <v>124</v>
      </c>
      <c r="G95" s="6">
        <v>2022</v>
      </c>
      <c r="H95" s="6">
        <v>2026</v>
      </c>
      <c r="I95" s="24"/>
      <c r="J95" s="24"/>
      <c r="K95" s="24"/>
      <c r="L95" s="24">
        <v>4680000</v>
      </c>
      <c r="M95" s="24">
        <f t="shared" si="4"/>
        <v>4680000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</row>
    <row r="96" spans="1:253" s="5" customFormat="1" ht="20.100000000000001" customHeight="1">
      <c r="A96" s="6">
        <v>50</v>
      </c>
      <c r="B96" s="6" t="s">
        <v>186</v>
      </c>
      <c r="C96" s="6" t="s">
        <v>188</v>
      </c>
      <c r="D96" s="6" t="s">
        <v>187</v>
      </c>
      <c r="E96" s="6" t="s">
        <v>7</v>
      </c>
      <c r="F96" s="41" t="s">
        <v>251</v>
      </c>
      <c r="G96" s="6">
        <v>2024</v>
      </c>
      <c r="H96" s="6">
        <v>2028</v>
      </c>
      <c r="I96" s="24"/>
      <c r="J96" s="24"/>
      <c r="K96" s="24"/>
      <c r="L96" s="24">
        <v>4320000</v>
      </c>
      <c r="M96" s="24">
        <f t="shared" si="4"/>
        <v>4320000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</row>
    <row r="97" spans="1:253" s="5" customFormat="1" ht="20.100000000000001" customHeight="1">
      <c r="A97" s="6">
        <v>51</v>
      </c>
      <c r="B97" s="7" t="s">
        <v>171</v>
      </c>
      <c r="C97" s="7" t="s">
        <v>11</v>
      </c>
      <c r="D97" s="6" t="s">
        <v>187</v>
      </c>
      <c r="E97" s="6" t="s">
        <v>7</v>
      </c>
      <c r="F97" s="41" t="s">
        <v>252</v>
      </c>
      <c r="G97" s="6">
        <v>2024</v>
      </c>
      <c r="H97" s="6">
        <v>2028</v>
      </c>
      <c r="I97" s="24"/>
      <c r="J97" s="24"/>
      <c r="K97" s="24"/>
      <c r="L97" s="24">
        <v>5400000</v>
      </c>
      <c r="M97" s="24">
        <f t="shared" si="4"/>
        <v>5400000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</row>
    <row r="98" spans="1:253" s="5" customFormat="1" ht="20.100000000000001" customHeight="1">
      <c r="A98" s="6">
        <v>52</v>
      </c>
      <c r="B98" s="7" t="s">
        <v>171</v>
      </c>
      <c r="C98" s="7" t="s">
        <v>11</v>
      </c>
      <c r="D98" s="6" t="s">
        <v>187</v>
      </c>
      <c r="E98" s="6" t="s">
        <v>7</v>
      </c>
      <c r="F98" s="41" t="s">
        <v>253</v>
      </c>
      <c r="G98" s="6">
        <v>2024</v>
      </c>
      <c r="H98" s="6">
        <v>2028</v>
      </c>
      <c r="I98" s="24"/>
      <c r="J98" s="24"/>
      <c r="K98" s="24"/>
      <c r="L98" s="24">
        <v>4260000</v>
      </c>
      <c r="M98" s="24">
        <f t="shared" si="4"/>
        <v>4260000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</row>
    <row r="99" spans="1:253" s="5" customFormat="1" ht="20.100000000000001" customHeight="1">
      <c r="A99" s="6">
        <v>53</v>
      </c>
      <c r="B99" s="6" t="s">
        <v>186</v>
      </c>
      <c r="C99" s="6" t="s">
        <v>188</v>
      </c>
      <c r="D99" s="6" t="s">
        <v>187</v>
      </c>
      <c r="E99" s="6" t="s">
        <v>7</v>
      </c>
      <c r="F99" s="41" t="s">
        <v>254</v>
      </c>
      <c r="G99" s="6">
        <v>2024</v>
      </c>
      <c r="H99" s="6">
        <v>2028</v>
      </c>
      <c r="I99" s="24"/>
      <c r="J99" s="24"/>
      <c r="K99" s="24"/>
      <c r="L99" s="24">
        <v>4080000</v>
      </c>
      <c r="M99" s="24">
        <f t="shared" si="4"/>
        <v>4080000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</row>
    <row r="100" spans="1:253" s="5" customFormat="1" ht="20.100000000000001" customHeight="1">
      <c r="A100" s="6">
        <v>54</v>
      </c>
      <c r="B100" s="7" t="s">
        <v>171</v>
      </c>
      <c r="C100" s="7" t="s">
        <v>11</v>
      </c>
      <c r="D100" s="6" t="s">
        <v>187</v>
      </c>
      <c r="E100" s="6" t="s">
        <v>7</v>
      </c>
      <c r="F100" s="41" t="s">
        <v>255</v>
      </c>
      <c r="G100" s="6">
        <v>2024</v>
      </c>
      <c r="H100" s="6">
        <v>2028</v>
      </c>
      <c r="I100" s="24"/>
      <c r="J100" s="24"/>
      <c r="K100" s="24"/>
      <c r="L100" s="24">
        <v>4680000</v>
      </c>
      <c r="M100" s="24">
        <f t="shared" si="4"/>
        <v>4680000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</row>
    <row r="101" spans="1:253" s="5" customFormat="1" ht="20.100000000000001" customHeight="1">
      <c r="A101" s="6">
        <v>55</v>
      </c>
      <c r="B101" s="7" t="s">
        <v>171</v>
      </c>
      <c r="C101" s="7" t="s">
        <v>11</v>
      </c>
      <c r="D101" s="6" t="s">
        <v>187</v>
      </c>
      <c r="E101" s="6" t="s">
        <v>7</v>
      </c>
      <c r="F101" s="41" t="s">
        <v>256</v>
      </c>
      <c r="G101" s="6">
        <v>2024</v>
      </c>
      <c r="H101" s="6">
        <v>2028</v>
      </c>
      <c r="I101" s="24"/>
      <c r="J101" s="24"/>
      <c r="K101" s="24"/>
      <c r="L101" s="24">
        <v>3960000</v>
      </c>
      <c r="M101" s="24">
        <f t="shared" si="4"/>
        <v>3960000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</row>
    <row r="102" spans="1:253" s="5" customFormat="1" ht="20.100000000000001" customHeight="1">
      <c r="A102" s="6">
        <v>56</v>
      </c>
      <c r="B102" s="6" t="s">
        <v>186</v>
      </c>
      <c r="C102" s="6" t="s">
        <v>188</v>
      </c>
      <c r="D102" s="6" t="s">
        <v>187</v>
      </c>
      <c r="E102" s="6" t="s">
        <v>7</v>
      </c>
      <c r="F102" s="41" t="s">
        <v>207</v>
      </c>
      <c r="G102" s="6">
        <v>2023</v>
      </c>
      <c r="H102" s="6">
        <v>2027</v>
      </c>
      <c r="I102" s="24"/>
      <c r="J102" s="24"/>
      <c r="K102" s="24"/>
      <c r="L102" s="24">
        <v>5940000</v>
      </c>
      <c r="M102" s="24">
        <f t="shared" si="4"/>
        <v>5940000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</row>
    <row r="103" spans="1:253" s="5" customFormat="1" ht="20.100000000000001" customHeight="1">
      <c r="A103" s="6">
        <v>57</v>
      </c>
      <c r="B103" s="7" t="s">
        <v>171</v>
      </c>
      <c r="C103" s="7" t="s">
        <v>11</v>
      </c>
      <c r="D103" s="6" t="s">
        <v>187</v>
      </c>
      <c r="E103" s="6" t="s">
        <v>7</v>
      </c>
      <c r="F103" s="41" t="s">
        <v>257</v>
      </c>
      <c r="G103" s="6">
        <v>2024</v>
      </c>
      <c r="H103" s="6">
        <v>2028</v>
      </c>
      <c r="I103" s="24"/>
      <c r="J103" s="24"/>
      <c r="K103" s="24"/>
      <c r="L103" s="24">
        <v>4650000</v>
      </c>
      <c r="M103" s="24">
        <f t="shared" si="4"/>
        <v>4650000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</row>
    <row r="104" spans="1:253" s="5" customFormat="1" ht="20.100000000000001" customHeight="1">
      <c r="A104" s="6">
        <v>58</v>
      </c>
      <c r="B104" s="7" t="s">
        <v>171</v>
      </c>
      <c r="C104" s="7" t="s">
        <v>11</v>
      </c>
      <c r="D104" s="6" t="s">
        <v>187</v>
      </c>
      <c r="E104" s="6" t="s">
        <v>7</v>
      </c>
      <c r="F104" s="41" t="s">
        <v>258</v>
      </c>
      <c r="G104" s="6">
        <v>2024</v>
      </c>
      <c r="H104" s="6">
        <v>2028</v>
      </c>
      <c r="I104" s="24"/>
      <c r="J104" s="24"/>
      <c r="K104" s="24"/>
      <c r="L104" s="24">
        <v>5550000</v>
      </c>
      <c r="M104" s="24">
        <f t="shared" si="4"/>
        <v>5550000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</row>
    <row r="105" spans="1:253" ht="20.100000000000001" customHeight="1">
      <c r="A105" s="6">
        <v>59</v>
      </c>
      <c r="B105" s="6" t="s">
        <v>186</v>
      </c>
      <c r="C105" s="6" t="s">
        <v>188</v>
      </c>
      <c r="D105" s="6" t="s">
        <v>187</v>
      </c>
      <c r="E105" s="6" t="s">
        <v>7</v>
      </c>
      <c r="F105" s="41" t="s">
        <v>259</v>
      </c>
      <c r="G105" s="6">
        <v>2024</v>
      </c>
      <c r="H105" s="6">
        <v>2028</v>
      </c>
      <c r="I105" s="24"/>
      <c r="J105" s="24"/>
      <c r="K105" s="24"/>
      <c r="L105" s="24">
        <v>4290000</v>
      </c>
      <c r="M105" s="24">
        <f t="shared" si="4"/>
        <v>4290000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</row>
    <row r="106" spans="1:253" ht="20.100000000000001" customHeight="1" thickBot="1">
      <c r="A106" s="56" t="s">
        <v>282</v>
      </c>
      <c r="B106" s="57"/>
      <c r="C106" s="57"/>
      <c r="D106" s="57"/>
      <c r="E106" s="57"/>
      <c r="F106" s="58"/>
      <c r="G106" s="17"/>
      <c r="H106" s="17"/>
      <c r="I106" s="29">
        <f>SUM(I47:I68)</f>
        <v>0</v>
      </c>
      <c r="J106" s="29">
        <f>SUM(J47:J68)</f>
        <v>0</v>
      </c>
      <c r="K106" s="29">
        <f>SUM(K47:K68)</f>
        <v>0</v>
      </c>
      <c r="L106" s="29">
        <f>SUM(L47:L105)</f>
        <v>268088000</v>
      </c>
      <c r="M106" s="29">
        <f t="shared" ref="M106" si="5">SUM(M47:M105)</f>
        <v>268088000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</row>
    <row r="107" spans="1:253" ht="20.100000000000001" customHeight="1" thickTop="1">
      <c r="A107" s="9">
        <v>1</v>
      </c>
      <c r="B107" s="9" t="s">
        <v>171</v>
      </c>
      <c r="C107" s="9" t="s">
        <v>5</v>
      </c>
      <c r="D107" s="9" t="s">
        <v>6</v>
      </c>
      <c r="E107" s="9" t="s">
        <v>7</v>
      </c>
      <c r="F107" s="41" t="s">
        <v>115</v>
      </c>
      <c r="G107" s="9">
        <v>2021</v>
      </c>
      <c r="H107" s="9">
        <v>2025</v>
      </c>
      <c r="I107" s="30"/>
      <c r="J107" s="30"/>
      <c r="K107" s="30"/>
      <c r="L107" s="30">
        <v>4140000</v>
      </c>
      <c r="M107" s="30">
        <f t="shared" ref="M107:M138" si="6">SUM(K107:L107)</f>
        <v>4140000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</row>
    <row r="108" spans="1:253" ht="20.100000000000001" customHeight="1">
      <c r="A108" s="6">
        <v>2</v>
      </c>
      <c r="B108" s="6" t="s">
        <v>171</v>
      </c>
      <c r="C108" s="6" t="s">
        <v>5</v>
      </c>
      <c r="D108" s="6" t="s">
        <v>6</v>
      </c>
      <c r="E108" s="6" t="s">
        <v>7</v>
      </c>
      <c r="F108" s="41" t="s">
        <v>29</v>
      </c>
      <c r="G108" s="6">
        <v>2022</v>
      </c>
      <c r="H108" s="6">
        <v>2026</v>
      </c>
      <c r="I108" s="24"/>
      <c r="J108" s="24"/>
      <c r="K108" s="24"/>
      <c r="L108" s="24">
        <v>6420000</v>
      </c>
      <c r="M108" s="24">
        <f t="shared" si="6"/>
        <v>6420000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</row>
    <row r="109" spans="1:253" ht="20.100000000000001" customHeight="1">
      <c r="A109" s="6">
        <v>3</v>
      </c>
      <c r="B109" s="6" t="s">
        <v>171</v>
      </c>
      <c r="C109" s="6" t="s">
        <v>5</v>
      </c>
      <c r="D109" s="6" t="s">
        <v>6</v>
      </c>
      <c r="E109" s="6" t="s">
        <v>7</v>
      </c>
      <c r="F109" s="41" t="s">
        <v>83</v>
      </c>
      <c r="G109" s="6">
        <v>2021</v>
      </c>
      <c r="H109" s="6">
        <v>2025</v>
      </c>
      <c r="I109" s="24"/>
      <c r="J109" s="24"/>
      <c r="K109" s="24"/>
      <c r="L109" s="24">
        <v>5970000</v>
      </c>
      <c r="M109" s="24">
        <f t="shared" si="6"/>
        <v>5970000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</row>
    <row r="110" spans="1:253" ht="20.100000000000001" customHeight="1">
      <c r="A110" s="6">
        <v>4</v>
      </c>
      <c r="B110" s="6" t="s">
        <v>171</v>
      </c>
      <c r="C110" s="6" t="s">
        <v>5</v>
      </c>
      <c r="D110" s="6" t="s">
        <v>6</v>
      </c>
      <c r="E110" s="6" t="s">
        <v>7</v>
      </c>
      <c r="F110" s="41" t="s">
        <v>78</v>
      </c>
      <c r="G110" s="6">
        <v>2021</v>
      </c>
      <c r="H110" s="6">
        <v>2025</v>
      </c>
      <c r="I110" s="24"/>
      <c r="J110" s="24"/>
      <c r="K110" s="24"/>
      <c r="L110" s="24">
        <v>5190000</v>
      </c>
      <c r="M110" s="24">
        <f t="shared" si="6"/>
        <v>5190000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</row>
    <row r="111" spans="1:253" ht="20.100000000000001" customHeight="1">
      <c r="A111" s="6">
        <v>5</v>
      </c>
      <c r="B111" s="6" t="s">
        <v>171</v>
      </c>
      <c r="C111" s="6" t="s">
        <v>5</v>
      </c>
      <c r="D111" s="6" t="s">
        <v>6</v>
      </c>
      <c r="E111" s="6" t="s">
        <v>7</v>
      </c>
      <c r="F111" s="41" t="s">
        <v>103</v>
      </c>
      <c r="G111" s="6">
        <v>2021</v>
      </c>
      <c r="H111" s="6">
        <v>2025</v>
      </c>
      <c r="I111" s="24"/>
      <c r="J111" s="24"/>
      <c r="K111" s="24"/>
      <c r="L111" s="24">
        <v>4140000</v>
      </c>
      <c r="M111" s="24">
        <f t="shared" si="6"/>
        <v>4140000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</row>
    <row r="112" spans="1:253" ht="20.100000000000001" customHeight="1">
      <c r="A112" s="6">
        <v>6</v>
      </c>
      <c r="B112" s="6" t="s">
        <v>171</v>
      </c>
      <c r="C112" s="6" t="s">
        <v>5</v>
      </c>
      <c r="D112" s="6" t="s">
        <v>6</v>
      </c>
      <c r="E112" s="6" t="s">
        <v>7</v>
      </c>
      <c r="F112" s="41" t="s">
        <v>121</v>
      </c>
      <c r="G112" s="6">
        <v>2022</v>
      </c>
      <c r="H112" s="6">
        <v>2026</v>
      </c>
      <c r="I112" s="24"/>
      <c r="J112" s="24"/>
      <c r="K112" s="24"/>
      <c r="L112" s="24">
        <v>3720000</v>
      </c>
      <c r="M112" s="24">
        <f t="shared" si="6"/>
        <v>3720000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</row>
    <row r="113" spans="1:253" ht="20.100000000000001" customHeight="1">
      <c r="A113" s="6">
        <v>7</v>
      </c>
      <c r="B113" s="6" t="s">
        <v>171</v>
      </c>
      <c r="C113" s="6" t="s">
        <v>5</v>
      </c>
      <c r="D113" s="6" t="s">
        <v>6</v>
      </c>
      <c r="E113" s="6" t="s">
        <v>7</v>
      </c>
      <c r="F113" s="41" t="s">
        <v>8</v>
      </c>
      <c r="G113" s="6">
        <v>2022</v>
      </c>
      <c r="H113" s="6">
        <v>2026</v>
      </c>
      <c r="I113" s="24"/>
      <c r="J113" s="24"/>
      <c r="K113" s="24"/>
      <c r="L113" s="24">
        <v>7320000</v>
      </c>
      <c r="M113" s="24">
        <f t="shared" si="6"/>
        <v>7320000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</row>
    <row r="114" spans="1:253" ht="20.100000000000001" customHeight="1">
      <c r="A114" s="6">
        <v>8</v>
      </c>
      <c r="B114" s="6" t="s">
        <v>171</v>
      </c>
      <c r="C114" s="6" t="s">
        <v>5</v>
      </c>
      <c r="D114" s="6" t="s">
        <v>6</v>
      </c>
      <c r="E114" s="6" t="s">
        <v>7</v>
      </c>
      <c r="F114" s="41" t="s">
        <v>49</v>
      </c>
      <c r="G114" s="6">
        <v>2022</v>
      </c>
      <c r="H114" s="6">
        <v>2026</v>
      </c>
      <c r="I114" s="24"/>
      <c r="J114" s="24"/>
      <c r="K114" s="24"/>
      <c r="L114" s="24">
        <v>4530000</v>
      </c>
      <c r="M114" s="24">
        <f t="shared" si="6"/>
        <v>4530000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</row>
    <row r="115" spans="1:253" ht="20.100000000000001" customHeight="1">
      <c r="A115" s="6">
        <v>9</v>
      </c>
      <c r="B115" s="6" t="s">
        <v>171</v>
      </c>
      <c r="C115" s="6" t="s">
        <v>5</v>
      </c>
      <c r="D115" s="6" t="s">
        <v>6</v>
      </c>
      <c r="E115" s="6" t="s">
        <v>7</v>
      </c>
      <c r="F115" s="41" t="s">
        <v>85</v>
      </c>
      <c r="G115" s="6">
        <v>2021</v>
      </c>
      <c r="H115" s="6">
        <v>2025</v>
      </c>
      <c r="I115" s="24"/>
      <c r="J115" s="24"/>
      <c r="K115" s="24"/>
      <c r="L115" s="24">
        <v>5460000</v>
      </c>
      <c r="M115" s="24">
        <f t="shared" si="6"/>
        <v>5460000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</row>
    <row r="116" spans="1:253" ht="20.100000000000001" customHeight="1">
      <c r="A116" s="6">
        <v>10</v>
      </c>
      <c r="B116" s="6" t="s">
        <v>171</v>
      </c>
      <c r="C116" s="6" t="s">
        <v>5</v>
      </c>
      <c r="D116" s="6" t="s">
        <v>6</v>
      </c>
      <c r="E116" s="6" t="s">
        <v>7</v>
      </c>
      <c r="F116" s="41" t="s">
        <v>54</v>
      </c>
      <c r="G116" s="6">
        <v>2022</v>
      </c>
      <c r="H116" s="6">
        <v>2026</v>
      </c>
      <c r="I116" s="24"/>
      <c r="J116" s="24"/>
      <c r="K116" s="24"/>
      <c r="L116" s="24">
        <v>3510000</v>
      </c>
      <c r="M116" s="24">
        <f t="shared" si="6"/>
        <v>3510000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</row>
    <row r="117" spans="1:253" ht="20.100000000000001" customHeight="1">
      <c r="A117" s="6">
        <v>11</v>
      </c>
      <c r="B117" s="6" t="s">
        <v>171</v>
      </c>
      <c r="C117" s="6" t="s">
        <v>5</v>
      </c>
      <c r="D117" s="6" t="s">
        <v>6</v>
      </c>
      <c r="E117" s="6" t="s">
        <v>7</v>
      </c>
      <c r="F117" s="41" t="s">
        <v>131</v>
      </c>
      <c r="G117" s="6">
        <v>2024</v>
      </c>
      <c r="H117" s="6">
        <v>2028</v>
      </c>
      <c r="I117" s="24"/>
      <c r="J117" s="24"/>
      <c r="K117" s="24"/>
      <c r="L117" s="24">
        <v>4830000</v>
      </c>
      <c r="M117" s="24">
        <f t="shared" si="6"/>
        <v>4830000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</row>
    <row r="118" spans="1:253" ht="20.100000000000001" customHeight="1">
      <c r="A118" s="6">
        <v>12</v>
      </c>
      <c r="B118" s="6" t="s">
        <v>171</v>
      </c>
      <c r="C118" s="6" t="s">
        <v>5</v>
      </c>
      <c r="D118" s="6" t="s">
        <v>6</v>
      </c>
      <c r="E118" s="6" t="s">
        <v>7</v>
      </c>
      <c r="F118" s="41" t="s">
        <v>106</v>
      </c>
      <c r="G118" s="6">
        <v>2021</v>
      </c>
      <c r="H118" s="6">
        <v>2025</v>
      </c>
      <c r="I118" s="24"/>
      <c r="J118" s="24"/>
      <c r="K118" s="24"/>
      <c r="L118" s="24">
        <v>4680000</v>
      </c>
      <c r="M118" s="24">
        <f t="shared" si="6"/>
        <v>4680000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</row>
    <row r="119" spans="1:253" ht="20.100000000000001" customHeight="1">
      <c r="A119" s="6">
        <v>13</v>
      </c>
      <c r="B119" s="6" t="s">
        <v>171</v>
      </c>
      <c r="C119" s="6" t="s">
        <v>5</v>
      </c>
      <c r="D119" s="6" t="s">
        <v>6</v>
      </c>
      <c r="E119" s="6" t="s">
        <v>7</v>
      </c>
      <c r="F119" s="41" t="s">
        <v>123</v>
      </c>
      <c r="G119" s="6">
        <v>2023</v>
      </c>
      <c r="H119" s="6">
        <v>2027</v>
      </c>
      <c r="I119" s="24"/>
      <c r="J119" s="24"/>
      <c r="K119" s="24"/>
      <c r="L119" s="24">
        <v>4110000</v>
      </c>
      <c r="M119" s="24">
        <f t="shared" si="6"/>
        <v>4110000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</row>
    <row r="120" spans="1:253" ht="20.100000000000001" customHeight="1">
      <c r="A120" s="6">
        <v>14</v>
      </c>
      <c r="B120" s="6" t="s">
        <v>171</v>
      </c>
      <c r="C120" s="7" t="s">
        <v>5</v>
      </c>
      <c r="D120" s="7" t="s">
        <v>6</v>
      </c>
      <c r="E120" s="7" t="s">
        <v>7</v>
      </c>
      <c r="F120" s="41" t="s">
        <v>98</v>
      </c>
      <c r="G120" s="6">
        <v>2021</v>
      </c>
      <c r="H120" s="6">
        <v>2025</v>
      </c>
      <c r="I120" s="25"/>
      <c r="J120" s="25"/>
      <c r="K120" s="25"/>
      <c r="L120" s="24">
        <v>4560000</v>
      </c>
      <c r="M120" s="24">
        <f t="shared" si="6"/>
        <v>4560000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</row>
    <row r="121" spans="1:253" ht="20.100000000000001" customHeight="1">
      <c r="A121" s="6">
        <v>15</v>
      </c>
      <c r="B121" s="6" t="s">
        <v>171</v>
      </c>
      <c r="C121" s="7" t="s">
        <v>5</v>
      </c>
      <c r="D121" s="7" t="s">
        <v>6</v>
      </c>
      <c r="E121" s="7" t="s">
        <v>7</v>
      </c>
      <c r="F121" s="41" t="s">
        <v>260</v>
      </c>
      <c r="G121" s="6">
        <v>2024</v>
      </c>
      <c r="H121" s="6">
        <v>2028</v>
      </c>
      <c r="I121" s="25"/>
      <c r="J121" s="25"/>
      <c r="K121" s="25"/>
      <c r="L121" s="24">
        <v>3720000</v>
      </c>
      <c r="M121" s="24">
        <f t="shared" si="6"/>
        <v>3720000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</row>
    <row r="122" spans="1:253" ht="20.100000000000001" customHeight="1">
      <c r="A122" s="6">
        <v>16</v>
      </c>
      <c r="B122" s="6" t="s">
        <v>171</v>
      </c>
      <c r="C122" s="7" t="s">
        <v>5</v>
      </c>
      <c r="D122" s="7" t="s">
        <v>6</v>
      </c>
      <c r="E122" s="7" t="s">
        <v>7</v>
      </c>
      <c r="F122" s="41" t="s">
        <v>20</v>
      </c>
      <c r="G122" s="6">
        <v>2022</v>
      </c>
      <c r="H122" s="6">
        <v>2026</v>
      </c>
      <c r="I122" s="25"/>
      <c r="J122" s="25"/>
      <c r="K122" s="25"/>
      <c r="L122" s="24">
        <v>4800000</v>
      </c>
      <c r="M122" s="24">
        <f t="shared" si="6"/>
        <v>4800000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</row>
    <row r="123" spans="1:253" ht="20.100000000000001" customHeight="1">
      <c r="A123" s="6">
        <v>17</v>
      </c>
      <c r="B123" s="7" t="s">
        <v>171</v>
      </c>
      <c r="C123" s="7" t="s">
        <v>5</v>
      </c>
      <c r="D123" s="7" t="s">
        <v>6</v>
      </c>
      <c r="E123" s="7" t="s">
        <v>7</v>
      </c>
      <c r="F123" s="41" t="s">
        <v>79</v>
      </c>
      <c r="G123" s="7">
        <v>2021</v>
      </c>
      <c r="H123" s="6">
        <v>2025</v>
      </c>
      <c r="I123" s="25"/>
      <c r="J123" s="25"/>
      <c r="K123" s="25"/>
      <c r="L123" s="24">
        <v>5640000</v>
      </c>
      <c r="M123" s="24">
        <f t="shared" si="6"/>
        <v>5640000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</row>
    <row r="124" spans="1:253" ht="20.100000000000001" customHeight="1">
      <c r="A124" s="6">
        <v>18</v>
      </c>
      <c r="B124" s="6" t="s">
        <v>171</v>
      </c>
      <c r="C124" s="7" t="s">
        <v>5</v>
      </c>
      <c r="D124" s="7" t="s">
        <v>6</v>
      </c>
      <c r="E124" s="7" t="s">
        <v>7</v>
      </c>
      <c r="F124" s="41" t="s">
        <v>19</v>
      </c>
      <c r="G124" s="6">
        <v>2022</v>
      </c>
      <c r="H124" s="6">
        <v>2026</v>
      </c>
      <c r="I124" s="25"/>
      <c r="J124" s="25"/>
      <c r="K124" s="25"/>
      <c r="L124" s="24">
        <v>4980000</v>
      </c>
      <c r="M124" s="24">
        <f t="shared" si="6"/>
        <v>4980000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</row>
    <row r="125" spans="1:253" ht="20.100000000000001" customHeight="1">
      <c r="A125" s="6">
        <v>19</v>
      </c>
      <c r="B125" s="6" t="s">
        <v>171</v>
      </c>
      <c r="C125" s="7" t="s">
        <v>5</v>
      </c>
      <c r="D125" s="7" t="s">
        <v>6</v>
      </c>
      <c r="E125" s="7" t="s">
        <v>7</v>
      </c>
      <c r="F125" s="41" t="s">
        <v>27</v>
      </c>
      <c r="G125" s="6">
        <v>2022</v>
      </c>
      <c r="H125" s="6">
        <v>2026</v>
      </c>
      <c r="I125" s="25"/>
      <c r="J125" s="25"/>
      <c r="K125" s="25"/>
      <c r="L125" s="24">
        <v>6030000</v>
      </c>
      <c r="M125" s="24">
        <f t="shared" si="6"/>
        <v>6030000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</row>
    <row r="126" spans="1:253" s="5" customFormat="1" ht="20.100000000000001" customHeight="1">
      <c r="A126" s="6">
        <v>20</v>
      </c>
      <c r="B126" s="10" t="s">
        <v>171</v>
      </c>
      <c r="C126" s="10" t="s">
        <v>5</v>
      </c>
      <c r="D126" s="10" t="s">
        <v>6</v>
      </c>
      <c r="E126" s="10" t="s">
        <v>7</v>
      </c>
      <c r="F126" s="41" t="s">
        <v>119</v>
      </c>
      <c r="G126" s="10">
        <v>2024</v>
      </c>
      <c r="H126" s="10">
        <v>2028</v>
      </c>
      <c r="I126" s="28"/>
      <c r="J126" s="28"/>
      <c r="K126" s="28"/>
      <c r="L126" s="27">
        <v>3780000</v>
      </c>
      <c r="M126" s="24">
        <f t="shared" si="6"/>
        <v>3780000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</row>
    <row r="127" spans="1:253" s="5" customFormat="1" ht="20.100000000000001" customHeight="1">
      <c r="A127" s="6">
        <v>21</v>
      </c>
      <c r="B127" s="6" t="s">
        <v>171</v>
      </c>
      <c r="C127" s="6" t="s">
        <v>5</v>
      </c>
      <c r="D127" s="6" t="s">
        <v>6</v>
      </c>
      <c r="E127" s="6" t="s">
        <v>7</v>
      </c>
      <c r="F127" s="41" t="s">
        <v>122</v>
      </c>
      <c r="G127" s="6">
        <v>2024</v>
      </c>
      <c r="H127" s="6">
        <v>2028</v>
      </c>
      <c r="I127" s="24"/>
      <c r="J127" s="24"/>
      <c r="K127" s="24"/>
      <c r="L127" s="24">
        <v>4350000</v>
      </c>
      <c r="M127" s="24">
        <f t="shared" si="6"/>
        <v>4350000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</row>
    <row r="128" spans="1:253" s="5" customFormat="1" ht="20.100000000000001" customHeight="1">
      <c r="A128" s="6">
        <v>22</v>
      </c>
      <c r="B128" s="6" t="s">
        <v>171</v>
      </c>
      <c r="C128" s="6" t="s">
        <v>5</v>
      </c>
      <c r="D128" s="6" t="s">
        <v>6</v>
      </c>
      <c r="E128" s="6" t="s">
        <v>7</v>
      </c>
      <c r="F128" s="41" t="s">
        <v>61</v>
      </c>
      <c r="G128" s="6">
        <v>2023</v>
      </c>
      <c r="H128" s="6">
        <v>2027</v>
      </c>
      <c r="I128" s="24"/>
      <c r="J128" s="24"/>
      <c r="K128" s="24"/>
      <c r="L128" s="24">
        <v>4200000</v>
      </c>
      <c r="M128" s="24">
        <f t="shared" si="6"/>
        <v>4200000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</row>
    <row r="129" spans="1:253" s="5" customFormat="1" ht="20.100000000000001" customHeight="1">
      <c r="A129" s="6">
        <v>23</v>
      </c>
      <c r="B129" s="6" t="s">
        <v>171</v>
      </c>
      <c r="C129" s="6" t="s">
        <v>5</v>
      </c>
      <c r="D129" s="6" t="s">
        <v>6</v>
      </c>
      <c r="E129" s="6" t="s">
        <v>7</v>
      </c>
      <c r="F129" s="41" t="s">
        <v>28</v>
      </c>
      <c r="G129" s="6">
        <v>2022</v>
      </c>
      <c r="H129" s="6">
        <v>2026</v>
      </c>
      <c r="I129" s="24"/>
      <c r="J129" s="24"/>
      <c r="K129" s="24"/>
      <c r="L129" s="24">
        <v>3960000</v>
      </c>
      <c r="M129" s="24">
        <f t="shared" si="6"/>
        <v>3960000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</row>
    <row r="130" spans="1:253" s="5" customFormat="1" ht="20.100000000000001" customHeight="1">
      <c r="A130" s="6">
        <v>24</v>
      </c>
      <c r="B130" s="6" t="s">
        <v>171</v>
      </c>
      <c r="C130" s="6" t="s">
        <v>5</v>
      </c>
      <c r="D130" s="6" t="s">
        <v>6</v>
      </c>
      <c r="E130" s="6" t="s">
        <v>7</v>
      </c>
      <c r="F130" s="41" t="s">
        <v>146</v>
      </c>
      <c r="G130" s="6">
        <v>2024</v>
      </c>
      <c r="H130" s="6">
        <v>2028</v>
      </c>
      <c r="I130" s="24"/>
      <c r="J130" s="24"/>
      <c r="K130" s="24"/>
      <c r="L130" s="24">
        <v>5070000</v>
      </c>
      <c r="M130" s="24">
        <f t="shared" si="6"/>
        <v>5070000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</row>
    <row r="131" spans="1:253" s="5" customFormat="1" ht="20.100000000000001" customHeight="1">
      <c r="A131" s="6">
        <v>25</v>
      </c>
      <c r="B131" s="6" t="s">
        <v>171</v>
      </c>
      <c r="C131" s="6" t="s">
        <v>5</v>
      </c>
      <c r="D131" s="6" t="s">
        <v>6</v>
      </c>
      <c r="E131" s="6" t="s">
        <v>7</v>
      </c>
      <c r="F131" s="41" t="s">
        <v>127</v>
      </c>
      <c r="G131" s="6">
        <v>2024</v>
      </c>
      <c r="H131" s="6">
        <v>2028</v>
      </c>
      <c r="I131" s="24"/>
      <c r="J131" s="24"/>
      <c r="K131" s="24"/>
      <c r="L131" s="24">
        <v>4950000</v>
      </c>
      <c r="M131" s="24">
        <f t="shared" si="6"/>
        <v>4950000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</row>
    <row r="132" spans="1:253" s="5" customFormat="1" ht="20.100000000000001" customHeight="1">
      <c r="A132" s="6">
        <v>26</v>
      </c>
      <c r="B132" s="6" t="s">
        <v>171</v>
      </c>
      <c r="C132" s="6" t="s">
        <v>5</v>
      </c>
      <c r="D132" s="6" t="s">
        <v>6</v>
      </c>
      <c r="E132" s="6" t="s">
        <v>7</v>
      </c>
      <c r="F132" s="41" t="s">
        <v>118</v>
      </c>
      <c r="G132" s="6">
        <v>2021</v>
      </c>
      <c r="H132" s="6">
        <v>2025</v>
      </c>
      <c r="I132" s="24"/>
      <c r="J132" s="24"/>
      <c r="K132" s="24"/>
      <c r="L132" s="24">
        <v>4590000</v>
      </c>
      <c r="M132" s="24">
        <f t="shared" si="6"/>
        <v>4590000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</row>
    <row r="133" spans="1:253" s="5" customFormat="1" ht="20.100000000000001" customHeight="1">
      <c r="A133" s="6">
        <v>27</v>
      </c>
      <c r="B133" s="7" t="s">
        <v>171</v>
      </c>
      <c r="C133" s="7" t="s">
        <v>5</v>
      </c>
      <c r="D133" s="7" t="s">
        <v>6</v>
      </c>
      <c r="E133" s="7" t="s">
        <v>7</v>
      </c>
      <c r="F133" s="41" t="s">
        <v>164</v>
      </c>
      <c r="G133" s="7">
        <v>2023</v>
      </c>
      <c r="H133" s="6">
        <v>2027</v>
      </c>
      <c r="I133" s="25"/>
      <c r="J133" s="25"/>
      <c r="K133" s="25"/>
      <c r="L133" s="24">
        <v>4590000</v>
      </c>
      <c r="M133" s="24">
        <f t="shared" si="6"/>
        <v>4590000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</row>
    <row r="134" spans="1:253" ht="20.100000000000001" customHeight="1">
      <c r="A134" s="6">
        <v>28</v>
      </c>
      <c r="B134" s="6" t="s">
        <v>171</v>
      </c>
      <c r="C134" s="6" t="s">
        <v>5</v>
      </c>
      <c r="D134" s="6" t="s">
        <v>6</v>
      </c>
      <c r="E134" s="6" t="s">
        <v>7</v>
      </c>
      <c r="F134" s="41" t="s">
        <v>261</v>
      </c>
      <c r="G134" s="6">
        <v>2024</v>
      </c>
      <c r="H134" s="6">
        <v>2028</v>
      </c>
      <c r="I134" s="24"/>
      <c r="J134" s="24"/>
      <c r="K134" s="24"/>
      <c r="L134" s="24">
        <v>3720000</v>
      </c>
      <c r="M134" s="24">
        <f t="shared" si="6"/>
        <v>3720000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</row>
    <row r="135" spans="1:253" ht="20.100000000000001" customHeight="1">
      <c r="A135" s="6">
        <v>29</v>
      </c>
      <c r="B135" s="6" t="s">
        <v>171</v>
      </c>
      <c r="C135" s="7" t="s">
        <v>5</v>
      </c>
      <c r="D135" s="7" t="s">
        <v>6</v>
      </c>
      <c r="E135" s="7" t="s">
        <v>7</v>
      </c>
      <c r="F135" s="41" t="s">
        <v>35</v>
      </c>
      <c r="G135" s="6">
        <v>2022</v>
      </c>
      <c r="H135" s="6">
        <v>2026</v>
      </c>
      <c r="I135" s="25"/>
      <c r="J135" s="25"/>
      <c r="K135" s="25"/>
      <c r="L135" s="24">
        <v>4140000</v>
      </c>
      <c r="M135" s="24">
        <f t="shared" si="6"/>
        <v>4140000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</row>
    <row r="136" spans="1:253" s="5" customFormat="1" ht="20.100000000000001" customHeight="1">
      <c r="A136" s="6">
        <v>30</v>
      </c>
      <c r="B136" s="7" t="s">
        <v>171</v>
      </c>
      <c r="C136" s="7" t="s">
        <v>5</v>
      </c>
      <c r="D136" s="7" t="s">
        <v>6</v>
      </c>
      <c r="E136" s="7" t="s">
        <v>7</v>
      </c>
      <c r="F136" s="41" t="s">
        <v>24</v>
      </c>
      <c r="G136" s="7">
        <v>2022</v>
      </c>
      <c r="H136" s="6">
        <v>2026</v>
      </c>
      <c r="I136" s="25"/>
      <c r="J136" s="25"/>
      <c r="K136" s="25"/>
      <c r="L136" s="24">
        <v>3960000</v>
      </c>
      <c r="M136" s="24">
        <f t="shared" si="6"/>
        <v>3960000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</row>
    <row r="137" spans="1:253" s="5" customFormat="1" ht="20.100000000000001" customHeight="1">
      <c r="A137" s="6">
        <v>31</v>
      </c>
      <c r="B137" s="10" t="s">
        <v>171</v>
      </c>
      <c r="C137" s="10" t="s">
        <v>5</v>
      </c>
      <c r="D137" s="10" t="s">
        <v>9</v>
      </c>
      <c r="E137" s="10" t="s">
        <v>7</v>
      </c>
      <c r="F137" s="41" t="s">
        <v>37</v>
      </c>
      <c r="G137" s="10">
        <v>2022</v>
      </c>
      <c r="H137" s="8">
        <v>2026</v>
      </c>
      <c r="I137" s="28"/>
      <c r="J137" s="28"/>
      <c r="K137" s="28"/>
      <c r="L137" s="27">
        <v>3930000</v>
      </c>
      <c r="M137" s="24">
        <f t="shared" si="6"/>
        <v>3930000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</row>
    <row r="138" spans="1:253" s="5" customFormat="1" ht="20.100000000000001" customHeight="1">
      <c r="A138" s="6">
        <v>32</v>
      </c>
      <c r="B138" s="6" t="s">
        <v>171</v>
      </c>
      <c r="C138" s="7" t="s">
        <v>5</v>
      </c>
      <c r="D138" s="7" t="s">
        <v>9</v>
      </c>
      <c r="E138" s="7" t="s">
        <v>7</v>
      </c>
      <c r="F138" s="41" t="s">
        <v>157</v>
      </c>
      <c r="G138" s="10">
        <v>2022</v>
      </c>
      <c r="H138" s="8">
        <v>2026</v>
      </c>
      <c r="I138" s="28"/>
      <c r="J138" s="28"/>
      <c r="K138" s="28"/>
      <c r="L138" s="27">
        <v>4230000</v>
      </c>
      <c r="M138" s="24">
        <f t="shared" si="6"/>
        <v>4230000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</row>
    <row r="139" spans="1:253" s="5" customFormat="1" ht="20.100000000000001" customHeight="1">
      <c r="A139" s="6">
        <v>33</v>
      </c>
      <c r="B139" s="7" t="s">
        <v>171</v>
      </c>
      <c r="C139" s="7" t="s">
        <v>5</v>
      </c>
      <c r="D139" s="7" t="s">
        <v>9</v>
      </c>
      <c r="E139" s="7" t="s">
        <v>7</v>
      </c>
      <c r="F139" s="41" t="s">
        <v>137</v>
      </c>
      <c r="G139" s="10">
        <v>2024</v>
      </c>
      <c r="H139" s="8">
        <v>2028</v>
      </c>
      <c r="I139" s="28"/>
      <c r="J139" s="28"/>
      <c r="K139" s="28"/>
      <c r="L139" s="27">
        <v>4770000</v>
      </c>
      <c r="M139" s="24">
        <f t="shared" ref="M139:M162" si="7">SUM(K139:L139)</f>
        <v>4770000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</row>
    <row r="140" spans="1:253" s="5" customFormat="1" ht="20.100000000000001" customHeight="1">
      <c r="A140" s="6">
        <v>34</v>
      </c>
      <c r="B140" s="10" t="s">
        <v>171</v>
      </c>
      <c r="C140" s="10" t="s">
        <v>5</v>
      </c>
      <c r="D140" s="7" t="s">
        <v>9</v>
      </c>
      <c r="E140" s="7" t="s">
        <v>7</v>
      </c>
      <c r="F140" s="41" t="s">
        <v>104</v>
      </c>
      <c r="G140" s="10">
        <v>2021</v>
      </c>
      <c r="H140" s="8">
        <v>2025</v>
      </c>
      <c r="I140" s="28"/>
      <c r="J140" s="28"/>
      <c r="K140" s="28"/>
      <c r="L140" s="27">
        <v>5850000</v>
      </c>
      <c r="M140" s="24">
        <f t="shared" si="7"/>
        <v>5850000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</row>
    <row r="141" spans="1:253" s="5" customFormat="1" ht="20.100000000000001" customHeight="1">
      <c r="A141" s="6">
        <v>35</v>
      </c>
      <c r="B141" s="6" t="s">
        <v>171</v>
      </c>
      <c r="C141" s="7" t="s">
        <v>5</v>
      </c>
      <c r="D141" s="7" t="s">
        <v>9</v>
      </c>
      <c r="E141" s="7" t="s">
        <v>7</v>
      </c>
      <c r="F141" s="41" t="s">
        <v>68</v>
      </c>
      <c r="G141" s="10">
        <v>2023</v>
      </c>
      <c r="H141" s="8">
        <v>2027</v>
      </c>
      <c r="I141" s="28"/>
      <c r="J141" s="28"/>
      <c r="K141" s="28"/>
      <c r="L141" s="27">
        <v>4200000</v>
      </c>
      <c r="M141" s="24">
        <f t="shared" si="7"/>
        <v>4200000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</row>
    <row r="142" spans="1:253" s="5" customFormat="1" ht="20.100000000000001" customHeight="1">
      <c r="A142" s="6">
        <v>36</v>
      </c>
      <c r="B142" s="7" t="s">
        <v>171</v>
      </c>
      <c r="C142" s="7" t="s">
        <v>5</v>
      </c>
      <c r="D142" s="7" t="s">
        <v>9</v>
      </c>
      <c r="E142" s="7" t="s">
        <v>7</v>
      </c>
      <c r="F142" s="41" t="s">
        <v>82</v>
      </c>
      <c r="G142" s="10">
        <v>2021</v>
      </c>
      <c r="H142" s="8">
        <v>2025</v>
      </c>
      <c r="I142" s="28"/>
      <c r="J142" s="28"/>
      <c r="K142" s="28"/>
      <c r="L142" s="27">
        <v>5700000</v>
      </c>
      <c r="M142" s="24">
        <f t="shared" si="7"/>
        <v>5700000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</row>
    <row r="143" spans="1:253" s="5" customFormat="1" ht="20.100000000000001" customHeight="1">
      <c r="A143" s="6">
        <v>37</v>
      </c>
      <c r="B143" s="10" t="s">
        <v>171</v>
      </c>
      <c r="C143" s="10" t="s">
        <v>5</v>
      </c>
      <c r="D143" s="7" t="s">
        <v>9</v>
      </c>
      <c r="E143" s="7" t="s">
        <v>7</v>
      </c>
      <c r="F143" s="41" t="s">
        <v>165</v>
      </c>
      <c r="G143" s="10">
        <v>2023</v>
      </c>
      <c r="H143" s="8">
        <v>2027</v>
      </c>
      <c r="I143" s="28"/>
      <c r="J143" s="28"/>
      <c r="K143" s="28"/>
      <c r="L143" s="27">
        <v>4530000</v>
      </c>
      <c r="M143" s="24">
        <f t="shared" si="7"/>
        <v>4530000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</row>
    <row r="144" spans="1:253" s="5" customFormat="1" ht="20.100000000000001" customHeight="1">
      <c r="A144" s="6">
        <v>38</v>
      </c>
      <c r="B144" s="6" t="s">
        <v>171</v>
      </c>
      <c r="C144" s="7" t="s">
        <v>5</v>
      </c>
      <c r="D144" s="7" t="s">
        <v>9</v>
      </c>
      <c r="E144" s="7" t="s">
        <v>7</v>
      </c>
      <c r="F144" s="41" t="s">
        <v>108</v>
      </c>
      <c r="G144" s="10">
        <v>2021</v>
      </c>
      <c r="H144" s="8">
        <v>2025</v>
      </c>
      <c r="I144" s="28"/>
      <c r="J144" s="28"/>
      <c r="K144" s="28"/>
      <c r="L144" s="27">
        <v>4680000</v>
      </c>
      <c r="M144" s="24">
        <f t="shared" si="7"/>
        <v>4680000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</row>
    <row r="145" spans="1:253" s="5" customFormat="1" ht="20.100000000000001" customHeight="1">
      <c r="A145" s="6">
        <v>39</v>
      </c>
      <c r="B145" s="7" t="s">
        <v>171</v>
      </c>
      <c r="C145" s="7" t="s">
        <v>5</v>
      </c>
      <c r="D145" s="7" t="s">
        <v>9</v>
      </c>
      <c r="E145" s="7" t="s">
        <v>7</v>
      </c>
      <c r="F145" s="41" t="s">
        <v>200</v>
      </c>
      <c r="G145" s="10">
        <v>2023</v>
      </c>
      <c r="H145" s="8">
        <v>2027</v>
      </c>
      <c r="I145" s="28"/>
      <c r="J145" s="28"/>
      <c r="K145" s="28"/>
      <c r="L145" s="27">
        <v>3540000</v>
      </c>
      <c r="M145" s="24">
        <f t="shared" si="7"/>
        <v>3540000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</row>
    <row r="146" spans="1:253" s="5" customFormat="1" ht="20.100000000000001" customHeight="1">
      <c r="A146" s="6">
        <v>40</v>
      </c>
      <c r="B146" s="10" t="s">
        <v>171</v>
      </c>
      <c r="C146" s="10" t="s">
        <v>5</v>
      </c>
      <c r="D146" s="7" t="s">
        <v>9</v>
      </c>
      <c r="E146" s="7" t="s">
        <v>7</v>
      </c>
      <c r="F146" s="41" t="s">
        <v>50</v>
      </c>
      <c r="G146" s="10">
        <v>2022</v>
      </c>
      <c r="H146" s="8">
        <v>2026</v>
      </c>
      <c r="I146" s="28"/>
      <c r="J146" s="28"/>
      <c r="K146" s="28"/>
      <c r="L146" s="27">
        <v>4530000</v>
      </c>
      <c r="M146" s="24">
        <f t="shared" si="7"/>
        <v>4530000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</row>
    <row r="147" spans="1:253" s="5" customFormat="1" ht="20.100000000000001" customHeight="1">
      <c r="A147" s="6">
        <v>41</v>
      </c>
      <c r="B147" s="7" t="s">
        <v>171</v>
      </c>
      <c r="C147" s="7" t="s">
        <v>5</v>
      </c>
      <c r="D147" s="7" t="s">
        <v>9</v>
      </c>
      <c r="E147" s="7" t="s">
        <v>7</v>
      </c>
      <c r="F147" s="53" t="s">
        <v>51</v>
      </c>
      <c r="G147" s="10">
        <v>2022</v>
      </c>
      <c r="H147" s="8">
        <v>2026</v>
      </c>
      <c r="I147" s="28"/>
      <c r="J147" s="28"/>
      <c r="K147" s="28"/>
      <c r="L147" s="27">
        <v>4050000</v>
      </c>
      <c r="M147" s="24">
        <f t="shared" si="7"/>
        <v>4050000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</row>
    <row r="148" spans="1:253" s="5" customFormat="1" ht="20.100000000000001" customHeight="1">
      <c r="A148" s="6">
        <v>42</v>
      </c>
      <c r="B148" s="10" t="s">
        <v>171</v>
      </c>
      <c r="C148" s="10" t="s">
        <v>5</v>
      </c>
      <c r="D148" s="7" t="s">
        <v>9</v>
      </c>
      <c r="E148" s="7" t="s">
        <v>7</v>
      </c>
      <c r="F148" s="53" t="s">
        <v>152</v>
      </c>
      <c r="G148" s="10">
        <v>2023</v>
      </c>
      <c r="H148" s="8">
        <v>2027</v>
      </c>
      <c r="I148" s="28"/>
      <c r="J148" s="28"/>
      <c r="K148" s="28"/>
      <c r="L148" s="27">
        <v>3600000</v>
      </c>
      <c r="M148" s="24">
        <f t="shared" si="7"/>
        <v>3600000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</row>
    <row r="149" spans="1:253" s="5" customFormat="1" ht="20.100000000000001" customHeight="1">
      <c r="A149" s="6">
        <v>43</v>
      </c>
      <c r="B149" s="7" t="s">
        <v>171</v>
      </c>
      <c r="C149" s="7" t="s">
        <v>5</v>
      </c>
      <c r="D149" s="7" t="s">
        <v>9</v>
      </c>
      <c r="E149" s="7" t="s">
        <v>7</v>
      </c>
      <c r="F149" s="53" t="s">
        <v>161</v>
      </c>
      <c r="G149" s="10">
        <v>2022</v>
      </c>
      <c r="H149" s="8">
        <v>2026</v>
      </c>
      <c r="I149" s="28"/>
      <c r="J149" s="28"/>
      <c r="K149" s="28"/>
      <c r="L149" s="27">
        <v>4470000</v>
      </c>
      <c r="M149" s="24">
        <f t="shared" si="7"/>
        <v>4470000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</row>
    <row r="150" spans="1:253" s="5" customFormat="1" ht="20.100000000000001" customHeight="1">
      <c r="A150" s="6">
        <v>44</v>
      </c>
      <c r="B150" s="10" t="s">
        <v>171</v>
      </c>
      <c r="C150" s="10" t="s">
        <v>5</v>
      </c>
      <c r="D150" s="7" t="s">
        <v>9</v>
      </c>
      <c r="E150" s="7" t="s">
        <v>7</v>
      </c>
      <c r="F150" s="53" t="s">
        <v>150</v>
      </c>
      <c r="G150" s="10">
        <v>2023</v>
      </c>
      <c r="H150" s="8">
        <v>2027</v>
      </c>
      <c r="I150" s="28"/>
      <c r="J150" s="28"/>
      <c r="K150" s="28"/>
      <c r="L150" s="27">
        <v>3600000</v>
      </c>
      <c r="M150" s="24">
        <f t="shared" si="7"/>
        <v>3600000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</row>
    <row r="151" spans="1:253" s="5" customFormat="1" ht="20.100000000000001" customHeight="1">
      <c r="A151" s="6">
        <v>45</v>
      </c>
      <c r="B151" s="7" t="s">
        <v>171</v>
      </c>
      <c r="C151" s="7" t="s">
        <v>5</v>
      </c>
      <c r="D151" s="7" t="s">
        <v>9</v>
      </c>
      <c r="E151" s="7" t="s">
        <v>7</v>
      </c>
      <c r="F151" s="53" t="s">
        <v>262</v>
      </c>
      <c r="G151" s="10">
        <v>2024</v>
      </c>
      <c r="H151" s="8">
        <v>2028</v>
      </c>
      <c r="I151" s="28"/>
      <c r="J151" s="28"/>
      <c r="K151" s="28"/>
      <c r="L151" s="27">
        <v>3690000</v>
      </c>
      <c r="M151" s="24">
        <f t="shared" si="7"/>
        <v>3690000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</row>
    <row r="152" spans="1:253" s="5" customFormat="1" ht="20.100000000000001" customHeight="1">
      <c r="A152" s="6">
        <v>46</v>
      </c>
      <c r="B152" s="10" t="s">
        <v>171</v>
      </c>
      <c r="C152" s="10" t="s">
        <v>5</v>
      </c>
      <c r="D152" s="7" t="s">
        <v>9</v>
      </c>
      <c r="E152" s="7" t="s">
        <v>7</v>
      </c>
      <c r="F152" s="53" t="s">
        <v>109</v>
      </c>
      <c r="G152" s="10">
        <v>2021</v>
      </c>
      <c r="H152" s="8">
        <v>2025</v>
      </c>
      <c r="I152" s="28"/>
      <c r="J152" s="28"/>
      <c r="K152" s="28"/>
      <c r="L152" s="27">
        <v>5700000</v>
      </c>
      <c r="M152" s="24">
        <f t="shared" si="7"/>
        <v>5700000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</row>
    <row r="153" spans="1:253" s="5" customFormat="1" ht="20.100000000000001" customHeight="1">
      <c r="A153" s="6">
        <v>47</v>
      </c>
      <c r="B153" s="7" t="s">
        <v>171</v>
      </c>
      <c r="C153" s="7" t="s">
        <v>5</v>
      </c>
      <c r="D153" s="7" t="s">
        <v>9</v>
      </c>
      <c r="E153" s="7" t="s">
        <v>7</v>
      </c>
      <c r="F153" s="53" t="s">
        <v>10</v>
      </c>
      <c r="G153" s="10">
        <v>2022</v>
      </c>
      <c r="H153" s="8">
        <v>2026</v>
      </c>
      <c r="I153" s="28"/>
      <c r="J153" s="28"/>
      <c r="K153" s="28"/>
      <c r="L153" s="27">
        <v>6960000</v>
      </c>
      <c r="M153" s="24">
        <f t="shared" si="7"/>
        <v>6960000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</row>
    <row r="154" spans="1:253" s="5" customFormat="1" ht="20.100000000000001" customHeight="1">
      <c r="A154" s="6">
        <v>48</v>
      </c>
      <c r="B154" s="10" t="s">
        <v>171</v>
      </c>
      <c r="C154" s="10" t="s">
        <v>5</v>
      </c>
      <c r="D154" s="7" t="s">
        <v>9</v>
      </c>
      <c r="E154" s="7" t="s">
        <v>7</v>
      </c>
      <c r="F154" s="53" t="s">
        <v>145</v>
      </c>
      <c r="G154" s="10">
        <v>2024</v>
      </c>
      <c r="H154" s="8">
        <v>2028</v>
      </c>
      <c r="I154" s="28"/>
      <c r="J154" s="28"/>
      <c r="K154" s="28"/>
      <c r="L154" s="27">
        <v>4620000</v>
      </c>
      <c r="M154" s="24">
        <f t="shared" si="7"/>
        <v>4620000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</row>
    <row r="155" spans="1:253" s="5" customFormat="1" ht="20.100000000000001" customHeight="1">
      <c r="A155" s="6">
        <v>49</v>
      </c>
      <c r="B155" s="7" t="s">
        <v>171</v>
      </c>
      <c r="C155" s="7" t="s">
        <v>5</v>
      </c>
      <c r="D155" s="7" t="s">
        <v>9</v>
      </c>
      <c r="E155" s="7" t="s">
        <v>7</v>
      </c>
      <c r="F155" s="53" t="s">
        <v>116</v>
      </c>
      <c r="G155" s="10">
        <v>2021</v>
      </c>
      <c r="H155" s="8">
        <v>2025</v>
      </c>
      <c r="I155" s="28"/>
      <c r="J155" s="28"/>
      <c r="K155" s="28"/>
      <c r="L155" s="27">
        <v>4170000</v>
      </c>
      <c r="M155" s="24">
        <f t="shared" si="7"/>
        <v>4170000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</row>
    <row r="156" spans="1:253" s="5" customFormat="1" ht="20.100000000000001" customHeight="1">
      <c r="A156" s="6">
        <v>50</v>
      </c>
      <c r="B156" s="10" t="s">
        <v>171</v>
      </c>
      <c r="C156" s="10" t="s">
        <v>5</v>
      </c>
      <c r="D156" s="7" t="s">
        <v>9</v>
      </c>
      <c r="E156" s="7" t="s">
        <v>7</v>
      </c>
      <c r="F156" s="53" t="s">
        <v>70</v>
      </c>
      <c r="G156" s="10">
        <v>2023</v>
      </c>
      <c r="H156" s="8">
        <v>2027</v>
      </c>
      <c r="I156" s="28"/>
      <c r="J156" s="28"/>
      <c r="K156" s="28"/>
      <c r="L156" s="27">
        <v>3960000</v>
      </c>
      <c r="M156" s="24">
        <f t="shared" si="7"/>
        <v>3960000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</row>
    <row r="157" spans="1:253" s="5" customFormat="1" ht="20.100000000000001" customHeight="1">
      <c r="A157" s="6">
        <v>51</v>
      </c>
      <c r="B157" s="7" t="s">
        <v>171</v>
      </c>
      <c r="C157" s="7" t="s">
        <v>5</v>
      </c>
      <c r="D157" s="7" t="s">
        <v>187</v>
      </c>
      <c r="E157" s="7" t="s">
        <v>7</v>
      </c>
      <c r="F157" s="53" t="s">
        <v>263</v>
      </c>
      <c r="G157" s="10">
        <v>2024</v>
      </c>
      <c r="H157" s="8">
        <v>2028</v>
      </c>
      <c r="I157" s="28"/>
      <c r="J157" s="28"/>
      <c r="K157" s="28"/>
      <c r="L157" s="27">
        <v>5430000</v>
      </c>
      <c r="M157" s="24">
        <f t="shared" si="7"/>
        <v>5430000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</row>
    <row r="158" spans="1:253" s="5" customFormat="1" ht="20.100000000000001" customHeight="1">
      <c r="A158" s="6">
        <v>52</v>
      </c>
      <c r="B158" s="10" t="s">
        <v>171</v>
      </c>
      <c r="C158" s="10" t="s">
        <v>5</v>
      </c>
      <c r="D158" s="7" t="s">
        <v>187</v>
      </c>
      <c r="E158" s="7" t="s">
        <v>7</v>
      </c>
      <c r="F158" s="53" t="s">
        <v>264</v>
      </c>
      <c r="G158" s="10">
        <v>2024</v>
      </c>
      <c r="H158" s="8">
        <v>2028</v>
      </c>
      <c r="I158" s="28"/>
      <c r="J158" s="28"/>
      <c r="K158" s="28"/>
      <c r="L158" s="27">
        <v>4650000</v>
      </c>
      <c r="M158" s="24">
        <f t="shared" si="7"/>
        <v>4650000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</row>
    <row r="159" spans="1:253" s="5" customFormat="1" ht="20.100000000000001" customHeight="1">
      <c r="A159" s="6">
        <v>53</v>
      </c>
      <c r="B159" s="7" t="s">
        <v>171</v>
      </c>
      <c r="C159" s="7" t="s">
        <v>5</v>
      </c>
      <c r="D159" s="7" t="s">
        <v>187</v>
      </c>
      <c r="E159" s="7" t="s">
        <v>7</v>
      </c>
      <c r="F159" s="53" t="s">
        <v>265</v>
      </c>
      <c r="G159" s="10">
        <v>2024</v>
      </c>
      <c r="H159" s="8">
        <v>2028</v>
      </c>
      <c r="I159" s="28"/>
      <c r="J159" s="28"/>
      <c r="K159" s="28"/>
      <c r="L159" s="27">
        <v>4770000</v>
      </c>
      <c r="M159" s="24">
        <f t="shared" si="7"/>
        <v>4770000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</row>
    <row r="160" spans="1:253" s="5" customFormat="1" ht="20.100000000000001" customHeight="1">
      <c r="A160" s="6">
        <v>54</v>
      </c>
      <c r="B160" s="10" t="s">
        <v>171</v>
      </c>
      <c r="C160" s="10" t="s">
        <v>5</v>
      </c>
      <c r="D160" s="7" t="s">
        <v>187</v>
      </c>
      <c r="E160" s="7" t="s">
        <v>7</v>
      </c>
      <c r="F160" s="53" t="s">
        <v>266</v>
      </c>
      <c r="G160" s="10">
        <v>2024</v>
      </c>
      <c r="H160" s="8">
        <v>2028</v>
      </c>
      <c r="I160" s="28"/>
      <c r="J160" s="28"/>
      <c r="K160" s="28"/>
      <c r="L160" s="27">
        <v>5250000</v>
      </c>
      <c r="M160" s="24">
        <f t="shared" si="7"/>
        <v>5250000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</row>
    <row r="161" spans="1:253" s="5" customFormat="1" ht="20.100000000000001" customHeight="1">
      <c r="A161" s="6">
        <v>55</v>
      </c>
      <c r="B161" s="7" t="s">
        <v>171</v>
      </c>
      <c r="C161" s="7" t="s">
        <v>5</v>
      </c>
      <c r="D161" s="7" t="s">
        <v>187</v>
      </c>
      <c r="E161" s="7" t="s">
        <v>7</v>
      </c>
      <c r="F161" s="53" t="s">
        <v>267</v>
      </c>
      <c r="G161" s="10">
        <v>2024</v>
      </c>
      <c r="H161" s="8">
        <v>2028</v>
      </c>
      <c r="I161" s="28"/>
      <c r="J161" s="28"/>
      <c r="K161" s="28"/>
      <c r="L161" s="27">
        <v>5790000</v>
      </c>
      <c r="M161" s="24">
        <f t="shared" si="7"/>
        <v>5790000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</row>
    <row r="162" spans="1:253" s="5" customFormat="1" ht="20.100000000000001" customHeight="1">
      <c r="A162" s="6">
        <v>56</v>
      </c>
      <c r="B162" s="10" t="s">
        <v>171</v>
      </c>
      <c r="C162" s="10" t="s">
        <v>5</v>
      </c>
      <c r="D162" s="7" t="s">
        <v>187</v>
      </c>
      <c r="E162" s="7" t="s">
        <v>7</v>
      </c>
      <c r="F162" s="53" t="s">
        <v>268</v>
      </c>
      <c r="G162" s="10">
        <v>2024</v>
      </c>
      <c r="H162" s="8">
        <v>2028</v>
      </c>
      <c r="I162" s="28"/>
      <c r="J162" s="28"/>
      <c r="K162" s="28"/>
      <c r="L162" s="27">
        <v>4410000</v>
      </c>
      <c r="M162" s="24">
        <f t="shared" si="7"/>
        <v>4410000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</row>
    <row r="163" spans="1:253" s="5" customFormat="1" ht="20.100000000000001" customHeight="1" thickBot="1">
      <c r="A163" s="56" t="s">
        <v>281</v>
      </c>
      <c r="B163" s="57"/>
      <c r="C163" s="57"/>
      <c r="D163" s="57"/>
      <c r="E163" s="57"/>
      <c r="F163" s="58"/>
      <c r="G163" s="17"/>
      <c r="H163" s="17"/>
      <c r="I163" s="29">
        <f>SUM(I107:I137)</f>
        <v>0</v>
      </c>
      <c r="J163" s="29">
        <f>SUM(J107:J137)</f>
        <v>0</v>
      </c>
      <c r="K163" s="29">
        <f>SUM(K107:K137)</f>
        <v>0</v>
      </c>
      <c r="L163" s="29">
        <f>SUM(L107:L162)</f>
        <v>262140000</v>
      </c>
      <c r="M163" s="29">
        <f t="shared" ref="M163" si="8">SUM(M107:M162)</f>
        <v>262140000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</row>
    <row r="164" spans="1:253" s="5" customFormat="1" ht="20.100000000000001" customHeight="1" thickTop="1">
      <c r="A164" s="16">
        <v>1</v>
      </c>
      <c r="B164" s="16" t="s">
        <v>171</v>
      </c>
      <c r="C164" s="16" t="s">
        <v>288</v>
      </c>
      <c r="D164" s="16" t="s">
        <v>6</v>
      </c>
      <c r="E164" s="16" t="s">
        <v>7</v>
      </c>
      <c r="F164" s="41" t="s">
        <v>112</v>
      </c>
      <c r="G164" s="16">
        <v>2021</v>
      </c>
      <c r="H164" s="16">
        <v>2025</v>
      </c>
      <c r="I164" s="31"/>
      <c r="J164" s="31"/>
      <c r="K164" s="31"/>
      <c r="L164" s="31">
        <v>4980000</v>
      </c>
      <c r="M164" s="31">
        <f t="shared" ref="M164:M200" si="9">SUM(K164:L164)</f>
        <v>4980000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</row>
    <row r="165" spans="1:253" s="5" customFormat="1" ht="20.100000000000001" customHeight="1">
      <c r="A165" s="6">
        <v>2</v>
      </c>
      <c r="B165" s="6" t="s">
        <v>171</v>
      </c>
      <c r="C165" s="6" t="s">
        <v>288</v>
      </c>
      <c r="D165" s="6" t="s">
        <v>6</v>
      </c>
      <c r="E165" s="6" t="s">
        <v>7</v>
      </c>
      <c r="F165" s="41" t="s">
        <v>269</v>
      </c>
      <c r="G165" s="6">
        <v>2024</v>
      </c>
      <c r="H165" s="6">
        <v>2028</v>
      </c>
      <c r="I165" s="24"/>
      <c r="J165" s="24"/>
      <c r="K165" s="24"/>
      <c r="L165" s="24">
        <v>3330000</v>
      </c>
      <c r="M165" s="40">
        <f t="shared" si="9"/>
        <v>3330000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</row>
    <row r="166" spans="1:253" s="5" customFormat="1" ht="20.100000000000001" customHeight="1">
      <c r="A166" s="16">
        <v>3</v>
      </c>
      <c r="B166" s="6" t="s">
        <v>171</v>
      </c>
      <c r="C166" s="6" t="s">
        <v>288</v>
      </c>
      <c r="D166" s="6" t="s">
        <v>6</v>
      </c>
      <c r="E166" s="6" t="s">
        <v>7</v>
      </c>
      <c r="F166" s="41" t="s">
        <v>199</v>
      </c>
      <c r="G166" s="6">
        <v>2021</v>
      </c>
      <c r="H166" s="6">
        <v>2025</v>
      </c>
      <c r="I166" s="24"/>
      <c r="J166" s="24"/>
      <c r="K166" s="24"/>
      <c r="L166" s="24">
        <v>6150000</v>
      </c>
      <c r="M166" s="40">
        <f t="shared" si="9"/>
        <v>6150000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</row>
    <row r="167" spans="1:253" s="5" customFormat="1" ht="20.100000000000001" customHeight="1">
      <c r="A167" s="16">
        <v>4</v>
      </c>
      <c r="B167" s="6" t="s">
        <v>171</v>
      </c>
      <c r="C167" s="6" t="s">
        <v>288</v>
      </c>
      <c r="D167" s="6" t="s">
        <v>6</v>
      </c>
      <c r="E167" s="6" t="s">
        <v>7</v>
      </c>
      <c r="F167" s="41" t="s">
        <v>113</v>
      </c>
      <c r="G167" s="6">
        <v>2021</v>
      </c>
      <c r="H167" s="6">
        <v>2025</v>
      </c>
      <c r="I167" s="24"/>
      <c r="J167" s="24"/>
      <c r="K167" s="24"/>
      <c r="L167" s="24">
        <v>6480000</v>
      </c>
      <c r="M167" s="40">
        <f t="shared" si="9"/>
        <v>6480000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</row>
    <row r="168" spans="1:253" s="5" customFormat="1" ht="20.100000000000001" customHeight="1">
      <c r="A168" s="6">
        <v>5</v>
      </c>
      <c r="B168" s="6" t="s">
        <v>171</v>
      </c>
      <c r="C168" s="6" t="s">
        <v>288</v>
      </c>
      <c r="D168" s="6" t="s">
        <v>6</v>
      </c>
      <c r="E168" s="6" t="s">
        <v>7</v>
      </c>
      <c r="F168" s="41" t="s">
        <v>128</v>
      </c>
      <c r="G168" s="6">
        <v>2022</v>
      </c>
      <c r="H168" s="6">
        <v>2026</v>
      </c>
      <c r="I168" s="24"/>
      <c r="J168" s="24"/>
      <c r="K168" s="24"/>
      <c r="L168" s="24">
        <v>5280000</v>
      </c>
      <c r="M168" s="40">
        <f t="shared" si="9"/>
        <v>5280000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</row>
    <row r="169" spans="1:253" s="5" customFormat="1" ht="20.100000000000001" customHeight="1">
      <c r="A169" s="16">
        <v>6</v>
      </c>
      <c r="B169" s="6" t="s">
        <v>171</v>
      </c>
      <c r="C169" s="6" t="s">
        <v>288</v>
      </c>
      <c r="D169" s="6" t="s">
        <v>6</v>
      </c>
      <c r="E169" s="6" t="s">
        <v>7</v>
      </c>
      <c r="F169" s="41" t="s">
        <v>23</v>
      </c>
      <c r="G169" s="6">
        <v>2022</v>
      </c>
      <c r="H169" s="6">
        <v>2026</v>
      </c>
      <c r="I169" s="24"/>
      <c r="J169" s="24"/>
      <c r="K169" s="24"/>
      <c r="L169" s="24">
        <v>4620000</v>
      </c>
      <c r="M169" s="40">
        <f t="shared" si="9"/>
        <v>4620000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</row>
    <row r="170" spans="1:253" s="5" customFormat="1" ht="20.100000000000001" customHeight="1">
      <c r="A170" s="16">
        <v>7</v>
      </c>
      <c r="B170" s="6" t="s">
        <v>171</v>
      </c>
      <c r="C170" s="6" t="s">
        <v>288</v>
      </c>
      <c r="D170" s="6" t="s">
        <v>6</v>
      </c>
      <c r="E170" s="6" t="s">
        <v>7</v>
      </c>
      <c r="F170" s="41" t="s">
        <v>132</v>
      </c>
      <c r="G170" s="6">
        <v>2022</v>
      </c>
      <c r="H170" s="6">
        <v>2026</v>
      </c>
      <c r="I170" s="24"/>
      <c r="J170" s="24"/>
      <c r="K170" s="24"/>
      <c r="L170" s="24">
        <v>4200000</v>
      </c>
      <c r="M170" s="40">
        <f t="shared" si="9"/>
        <v>4200000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</row>
    <row r="171" spans="1:253" ht="20.100000000000001" customHeight="1">
      <c r="A171" s="6">
        <v>8</v>
      </c>
      <c r="B171" s="6" t="s">
        <v>171</v>
      </c>
      <c r="C171" s="6" t="s">
        <v>288</v>
      </c>
      <c r="D171" s="6" t="s">
        <v>6</v>
      </c>
      <c r="E171" s="6" t="s">
        <v>7</v>
      </c>
      <c r="F171" s="41" t="s">
        <v>153</v>
      </c>
      <c r="G171" s="6">
        <v>2022</v>
      </c>
      <c r="H171" s="6">
        <v>2026</v>
      </c>
      <c r="I171" s="24"/>
      <c r="J171" s="24"/>
      <c r="K171" s="24"/>
      <c r="L171" s="24">
        <v>4920000</v>
      </c>
      <c r="M171" s="40">
        <f t="shared" si="9"/>
        <v>4920000</v>
      </c>
    </row>
    <row r="172" spans="1:253" ht="20.100000000000001" customHeight="1">
      <c r="A172" s="16">
        <v>9</v>
      </c>
      <c r="B172" s="6" t="s">
        <v>171</v>
      </c>
      <c r="C172" s="6" t="s">
        <v>288</v>
      </c>
      <c r="D172" s="6" t="s">
        <v>6</v>
      </c>
      <c r="E172" s="6" t="s">
        <v>7</v>
      </c>
      <c r="F172" s="41" t="s">
        <v>133</v>
      </c>
      <c r="G172" s="6">
        <v>2024</v>
      </c>
      <c r="H172" s="6">
        <v>2028</v>
      </c>
      <c r="I172" s="24"/>
      <c r="J172" s="24"/>
      <c r="K172" s="24"/>
      <c r="L172" s="24">
        <v>4800000</v>
      </c>
      <c r="M172" s="40">
        <f t="shared" si="9"/>
        <v>4800000</v>
      </c>
    </row>
    <row r="173" spans="1:253" ht="20.100000000000001" customHeight="1">
      <c r="A173" s="16">
        <v>10</v>
      </c>
      <c r="B173" s="6" t="s">
        <v>171</v>
      </c>
      <c r="C173" s="6" t="s">
        <v>288</v>
      </c>
      <c r="D173" s="6" t="s">
        <v>6</v>
      </c>
      <c r="E173" s="6" t="s">
        <v>7</v>
      </c>
      <c r="F173" s="41" t="s">
        <v>47</v>
      </c>
      <c r="G173" s="6">
        <v>2022</v>
      </c>
      <c r="H173" s="6">
        <v>2026</v>
      </c>
      <c r="I173" s="24"/>
      <c r="J173" s="24"/>
      <c r="K173" s="24"/>
      <c r="L173" s="24">
        <v>4440000</v>
      </c>
      <c r="M173" s="40">
        <f t="shared" si="9"/>
        <v>4440000</v>
      </c>
    </row>
    <row r="174" spans="1:253" ht="20.100000000000001" customHeight="1">
      <c r="A174" s="6">
        <v>11</v>
      </c>
      <c r="B174" s="6" t="s">
        <v>171</v>
      </c>
      <c r="C174" s="6" t="s">
        <v>288</v>
      </c>
      <c r="D174" s="6" t="s">
        <v>6</v>
      </c>
      <c r="E174" s="6" t="s">
        <v>7</v>
      </c>
      <c r="F174" s="41" t="s">
        <v>139</v>
      </c>
      <c r="G174" s="6">
        <v>2023</v>
      </c>
      <c r="H174" s="6">
        <v>2027</v>
      </c>
      <c r="I174" s="24"/>
      <c r="J174" s="24"/>
      <c r="K174" s="24"/>
      <c r="L174" s="24">
        <v>3870000</v>
      </c>
      <c r="M174" s="40">
        <f t="shared" si="9"/>
        <v>3870000</v>
      </c>
    </row>
    <row r="175" spans="1:253" ht="20.100000000000001" customHeight="1">
      <c r="A175" s="16">
        <v>12</v>
      </c>
      <c r="B175" s="6" t="s">
        <v>171</v>
      </c>
      <c r="C175" s="6" t="s">
        <v>288</v>
      </c>
      <c r="D175" s="6" t="s">
        <v>6</v>
      </c>
      <c r="E175" s="6" t="s">
        <v>7</v>
      </c>
      <c r="F175" s="41" t="s">
        <v>33</v>
      </c>
      <c r="G175" s="6">
        <v>2022</v>
      </c>
      <c r="H175" s="6">
        <v>2026</v>
      </c>
      <c r="I175" s="24"/>
      <c r="J175" s="24"/>
      <c r="K175" s="24"/>
      <c r="L175" s="24">
        <v>5160000</v>
      </c>
      <c r="M175" s="40">
        <f t="shared" si="9"/>
        <v>5160000</v>
      </c>
    </row>
    <row r="176" spans="1:253" ht="20.100000000000001" customHeight="1">
      <c r="A176" s="16">
        <v>13</v>
      </c>
      <c r="B176" s="6" t="s">
        <v>171</v>
      </c>
      <c r="C176" s="6" t="s">
        <v>288</v>
      </c>
      <c r="D176" s="6" t="s">
        <v>6</v>
      </c>
      <c r="E176" s="6" t="s">
        <v>7</v>
      </c>
      <c r="F176" s="41" t="s">
        <v>125</v>
      </c>
      <c r="G176" s="6">
        <v>2022</v>
      </c>
      <c r="H176" s="6">
        <v>2026</v>
      </c>
      <c r="I176" s="24"/>
      <c r="J176" s="24"/>
      <c r="K176" s="24"/>
      <c r="L176" s="24">
        <v>4290000</v>
      </c>
      <c r="M176" s="40">
        <f t="shared" si="9"/>
        <v>4290000</v>
      </c>
    </row>
    <row r="177" spans="1:13" ht="20.100000000000001" customHeight="1">
      <c r="A177" s="6">
        <v>14</v>
      </c>
      <c r="B177" s="6" t="s">
        <v>171</v>
      </c>
      <c r="C177" s="6" t="s">
        <v>288</v>
      </c>
      <c r="D177" s="6" t="s">
        <v>6</v>
      </c>
      <c r="E177" s="6" t="s">
        <v>7</v>
      </c>
      <c r="F177" s="41" t="s">
        <v>96</v>
      </c>
      <c r="G177" s="6">
        <v>2021</v>
      </c>
      <c r="H177" s="6">
        <v>2025</v>
      </c>
      <c r="I177" s="24"/>
      <c r="J177" s="24"/>
      <c r="K177" s="24"/>
      <c r="L177" s="24">
        <v>4980000</v>
      </c>
      <c r="M177" s="40">
        <f t="shared" si="9"/>
        <v>4980000</v>
      </c>
    </row>
    <row r="178" spans="1:13" ht="20.100000000000001" customHeight="1">
      <c r="A178" s="16">
        <v>15</v>
      </c>
      <c r="B178" s="6" t="s">
        <v>171</v>
      </c>
      <c r="C178" s="6" t="s">
        <v>288</v>
      </c>
      <c r="D178" s="6" t="s">
        <v>6</v>
      </c>
      <c r="E178" s="6" t="s">
        <v>7</v>
      </c>
      <c r="F178" s="41" t="s">
        <v>44</v>
      </c>
      <c r="G178" s="6">
        <v>2022</v>
      </c>
      <c r="H178" s="6">
        <v>2026</v>
      </c>
      <c r="I178" s="24"/>
      <c r="J178" s="24"/>
      <c r="K178" s="24"/>
      <c r="L178" s="24">
        <v>4260000</v>
      </c>
      <c r="M178" s="40">
        <f t="shared" si="9"/>
        <v>4260000</v>
      </c>
    </row>
    <row r="179" spans="1:13" ht="20.100000000000001" customHeight="1">
      <c r="A179" s="16">
        <v>16</v>
      </c>
      <c r="B179" s="6" t="s">
        <v>171</v>
      </c>
      <c r="C179" s="6" t="s">
        <v>288</v>
      </c>
      <c r="D179" s="6" t="s">
        <v>6</v>
      </c>
      <c r="E179" s="6" t="s">
        <v>7</v>
      </c>
      <c r="F179" s="41" t="s">
        <v>99</v>
      </c>
      <c r="G179" s="6">
        <v>2021</v>
      </c>
      <c r="H179" s="6">
        <v>2025</v>
      </c>
      <c r="I179" s="24"/>
      <c r="J179" s="24"/>
      <c r="K179" s="24"/>
      <c r="L179" s="24">
        <v>5370000</v>
      </c>
      <c r="M179" s="40">
        <f t="shared" si="9"/>
        <v>5370000</v>
      </c>
    </row>
    <row r="180" spans="1:13" ht="20.100000000000001" customHeight="1">
      <c r="A180" s="6">
        <v>17</v>
      </c>
      <c r="B180" s="6" t="s">
        <v>171</v>
      </c>
      <c r="C180" s="6" t="s">
        <v>288</v>
      </c>
      <c r="D180" s="6" t="s">
        <v>6</v>
      </c>
      <c r="E180" s="6" t="s">
        <v>7</v>
      </c>
      <c r="F180" s="41" t="s">
        <v>107</v>
      </c>
      <c r="G180" s="6">
        <v>2021</v>
      </c>
      <c r="H180" s="6">
        <v>2025</v>
      </c>
      <c r="I180" s="24"/>
      <c r="J180" s="24"/>
      <c r="K180" s="24"/>
      <c r="L180" s="24">
        <v>4080000</v>
      </c>
      <c r="M180" s="40">
        <f t="shared" si="9"/>
        <v>4080000</v>
      </c>
    </row>
    <row r="181" spans="1:13" ht="20.100000000000001" customHeight="1">
      <c r="A181" s="16">
        <v>18</v>
      </c>
      <c r="B181" s="6" t="s">
        <v>171</v>
      </c>
      <c r="C181" s="6" t="s">
        <v>288</v>
      </c>
      <c r="D181" s="6" t="s">
        <v>6</v>
      </c>
      <c r="E181" s="6" t="s">
        <v>7</v>
      </c>
      <c r="F181" s="41" t="s">
        <v>155</v>
      </c>
      <c r="G181" s="6">
        <v>2023</v>
      </c>
      <c r="H181" s="6">
        <v>2027</v>
      </c>
      <c r="I181" s="24"/>
      <c r="J181" s="24"/>
      <c r="K181" s="24"/>
      <c r="L181" s="24">
        <v>3690000</v>
      </c>
      <c r="M181" s="40">
        <f t="shared" si="9"/>
        <v>3690000</v>
      </c>
    </row>
    <row r="182" spans="1:13" ht="20.100000000000001" customHeight="1">
      <c r="A182" s="16">
        <v>19</v>
      </c>
      <c r="B182" s="6" t="s">
        <v>171</v>
      </c>
      <c r="C182" s="6" t="s">
        <v>288</v>
      </c>
      <c r="D182" s="6" t="s">
        <v>6</v>
      </c>
      <c r="E182" s="6" t="s">
        <v>7</v>
      </c>
      <c r="F182" s="41" t="s">
        <v>270</v>
      </c>
      <c r="G182" s="6">
        <v>2024</v>
      </c>
      <c r="H182" s="6">
        <v>2028</v>
      </c>
      <c r="I182" s="24"/>
      <c r="J182" s="24"/>
      <c r="K182" s="24"/>
      <c r="L182" s="24">
        <v>4200000</v>
      </c>
      <c r="M182" s="40">
        <f t="shared" si="9"/>
        <v>4200000</v>
      </c>
    </row>
    <row r="183" spans="1:13" ht="20.100000000000001" customHeight="1">
      <c r="A183" s="6">
        <v>20</v>
      </c>
      <c r="B183" s="6" t="s">
        <v>171</v>
      </c>
      <c r="C183" s="6" t="s">
        <v>288</v>
      </c>
      <c r="D183" s="6" t="s">
        <v>6</v>
      </c>
      <c r="E183" s="6" t="s">
        <v>7</v>
      </c>
      <c r="F183" s="41" t="s">
        <v>271</v>
      </c>
      <c r="G183" s="6">
        <v>2024</v>
      </c>
      <c r="H183" s="6">
        <v>2028</v>
      </c>
      <c r="I183" s="24"/>
      <c r="J183" s="24"/>
      <c r="K183" s="24"/>
      <c r="L183" s="24">
        <v>4140000</v>
      </c>
      <c r="M183" s="40">
        <f t="shared" si="9"/>
        <v>4140000</v>
      </c>
    </row>
    <row r="184" spans="1:13" ht="20.100000000000001" customHeight="1">
      <c r="A184" s="16">
        <v>21</v>
      </c>
      <c r="B184" s="6" t="s">
        <v>171</v>
      </c>
      <c r="C184" s="6" t="s">
        <v>288</v>
      </c>
      <c r="D184" s="6" t="s">
        <v>9</v>
      </c>
      <c r="E184" s="6" t="s">
        <v>7</v>
      </c>
      <c r="F184" s="41" t="s">
        <v>39</v>
      </c>
      <c r="G184" s="6">
        <v>2022</v>
      </c>
      <c r="H184" s="6">
        <v>2026</v>
      </c>
      <c r="I184" s="24"/>
      <c r="J184" s="24"/>
      <c r="K184" s="24"/>
      <c r="L184" s="24">
        <v>5280000</v>
      </c>
      <c r="M184" s="40">
        <f t="shared" si="9"/>
        <v>5280000</v>
      </c>
    </row>
    <row r="185" spans="1:13" ht="20.100000000000001" customHeight="1">
      <c r="A185" s="16">
        <v>22</v>
      </c>
      <c r="B185" s="6" t="s">
        <v>171</v>
      </c>
      <c r="C185" s="6" t="s">
        <v>288</v>
      </c>
      <c r="D185" s="6" t="s">
        <v>9</v>
      </c>
      <c r="E185" s="6" t="s">
        <v>7</v>
      </c>
      <c r="F185" s="41" t="s">
        <v>80</v>
      </c>
      <c r="G185" s="6">
        <v>2021</v>
      </c>
      <c r="H185" s="6">
        <v>2025</v>
      </c>
      <c r="I185" s="24"/>
      <c r="J185" s="24"/>
      <c r="K185" s="24"/>
      <c r="L185" s="24">
        <v>6810000</v>
      </c>
      <c r="M185" s="40">
        <f t="shared" si="9"/>
        <v>6810000</v>
      </c>
    </row>
    <row r="186" spans="1:13" ht="20.100000000000001" customHeight="1">
      <c r="A186" s="6">
        <v>23</v>
      </c>
      <c r="B186" s="6" t="s">
        <v>171</v>
      </c>
      <c r="C186" s="6" t="s">
        <v>288</v>
      </c>
      <c r="D186" s="6" t="s">
        <v>9</v>
      </c>
      <c r="E186" s="6" t="s">
        <v>7</v>
      </c>
      <c r="F186" s="41" t="s">
        <v>87</v>
      </c>
      <c r="G186" s="6">
        <v>2021</v>
      </c>
      <c r="H186" s="6">
        <v>2025</v>
      </c>
      <c r="I186" s="24"/>
      <c r="J186" s="24"/>
      <c r="K186" s="24"/>
      <c r="L186" s="24">
        <v>6330000</v>
      </c>
      <c r="M186" s="40">
        <f t="shared" si="9"/>
        <v>6330000</v>
      </c>
    </row>
    <row r="187" spans="1:13" ht="20.100000000000001" customHeight="1">
      <c r="A187" s="16">
        <v>24</v>
      </c>
      <c r="B187" s="6" t="s">
        <v>171</v>
      </c>
      <c r="C187" s="6" t="s">
        <v>288</v>
      </c>
      <c r="D187" s="6" t="s">
        <v>9</v>
      </c>
      <c r="E187" s="6" t="s">
        <v>7</v>
      </c>
      <c r="F187" s="41" t="s">
        <v>114</v>
      </c>
      <c r="G187" s="6">
        <v>2021</v>
      </c>
      <c r="H187" s="6">
        <v>2025</v>
      </c>
      <c r="I187" s="24"/>
      <c r="J187" s="24"/>
      <c r="K187" s="24"/>
      <c r="L187" s="24">
        <v>6240000</v>
      </c>
      <c r="M187" s="40">
        <f t="shared" si="9"/>
        <v>6240000</v>
      </c>
    </row>
    <row r="188" spans="1:13" ht="20.100000000000001" customHeight="1">
      <c r="A188" s="16">
        <v>25</v>
      </c>
      <c r="B188" s="6" t="s">
        <v>171</v>
      </c>
      <c r="C188" s="6" t="s">
        <v>288</v>
      </c>
      <c r="D188" s="6" t="s">
        <v>9</v>
      </c>
      <c r="E188" s="6" t="s">
        <v>7</v>
      </c>
      <c r="F188" s="41" t="s">
        <v>159</v>
      </c>
      <c r="G188" s="6">
        <v>2024</v>
      </c>
      <c r="H188" s="6">
        <v>2028</v>
      </c>
      <c r="I188" s="24"/>
      <c r="J188" s="24"/>
      <c r="K188" s="24"/>
      <c r="L188" s="24">
        <v>4560000</v>
      </c>
      <c r="M188" s="40">
        <f t="shared" si="9"/>
        <v>4560000</v>
      </c>
    </row>
    <row r="189" spans="1:13" ht="20.100000000000001" customHeight="1">
      <c r="A189" s="6">
        <v>26</v>
      </c>
      <c r="B189" s="8" t="s">
        <v>171</v>
      </c>
      <c r="C189" s="6" t="s">
        <v>288</v>
      </c>
      <c r="D189" s="8" t="s">
        <v>9</v>
      </c>
      <c r="E189" s="8" t="s">
        <v>7</v>
      </c>
      <c r="F189" s="41" t="s">
        <v>16</v>
      </c>
      <c r="G189" s="8">
        <v>2022</v>
      </c>
      <c r="H189" s="8">
        <v>2026</v>
      </c>
      <c r="I189" s="27"/>
      <c r="J189" s="27"/>
      <c r="K189" s="27"/>
      <c r="L189" s="24">
        <v>6010000</v>
      </c>
      <c r="M189" s="40">
        <f t="shared" si="9"/>
        <v>6010000</v>
      </c>
    </row>
    <row r="190" spans="1:13" ht="20.100000000000001" customHeight="1">
      <c r="A190" s="16">
        <v>27</v>
      </c>
      <c r="B190" s="6" t="s">
        <v>171</v>
      </c>
      <c r="C190" s="6" t="s">
        <v>288</v>
      </c>
      <c r="D190" s="6" t="s">
        <v>9</v>
      </c>
      <c r="E190" s="6" t="s">
        <v>7</v>
      </c>
      <c r="F190" s="41" t="s">
        <v>64</v>
      </c>
      <c r="G190" s="6">
        <v>2023</v>
      </c>
      <c r="H190" s="6">
        <v>2027</v>
      </c>
      <c r="I190" s="24"/>
      <c r="J190" s="24"/>
      <c r="K190" s="24"/>
      <c r="L190" s="24">
        <v>3940000</v>
      </c>
      <c r="M190" s="40">
        <f t="shared" si="9"/>
        <v>3940000</v>
      </c>
    </row>
    <row r="191" spans="1:13" ht="20.100000000000001" customHeight="1">
      <c r="A191" s="16">
        <v>28</v>
      </c>
      <c r="B191" s="6" t="s">
        <v>171</v>
      </c>
      <c r="C191" s="6" t="s">
        <v>288</v>
      </c>
      <c r="D191" s="7" t="s">
        <v>9</v>
      </c>
      <c r="E191" s="7" t="s">
        <v>7</v>
      </c>
      <c r="F191" s="41" t="s">
        <v>134</v>
      </c>
      <c r="G191" s="6">
        <v>2024</v>
      </c>
      <c r="H191" s="6">
        <v>2028</v>
      </c>
      <c r="I191" s="25"/>
      <c r="J191" s="25"/>
      <c r="K191" s="25"/>
      <c r="L191" s="24">
        <v>4440000</v>
      </c>
      <c r="M191" s="40">
        <f t="shared" si="9"/>
        <v>4440000</v>
      </c>
    </row>
    <row r="192" spans="1:13" ht="20.100000000000001" customHeight="1">
      <c r="A192" s="6">
        <v>29</v>
      </c>
      <c r="B192" s="7" t="s">
        <v>171</v>
      </c>
      <c r="C192" s="6" t="s">
        <v>288</v>
      </c>
      <c r="D192" s="7" t="s">
        <v>9</v>
      </c>
      <c r="E192" s="7" t="s">
        <v>7</v>
      </c>
      <c r="F192" s="41" t="s">
        <v>43</v>
      </c>
      <c r="G192" s="7">
        <v>2022</v>
      </c>
      <c r="H192" s="6">
        <v>2026</v>
      </c>
      <c r="I192" s="25"/>
      <c r="J192" s="25"/>
      <c r="K192" s="25"/>
      <c r="L192" s="24">
        <v>4320000</v>
      </c>
      <c r="M192" s="40">
        <f t="shared" si="9"/>
        <v>4320000</v>
      </c>
    </row>
    <row r="193" spans="1:13" ht="20.100000000000001" customHeight="1">
      <c r="A193" s="16">
        <v>30</v>
      </c>
      <c r="B193" s="7" t="s">
        <v>171</v>
      </c>
      <c r="C193" s="6" t="s">
        <v>288</v>
      </c>
      <c r="D193" s="7" t="s">
        <v>9</v>
      </c>
      <c r="E193" s="7" t="s">
        <v>7</v>
      </c>
      <c r="F193" s="41" t="s">
        <v>90</v>
      </c>
      <c r="G193" s="7">
        <v>2021</v>
      </c>
      <c r="H193" s="6">
        <v>2025</v>
      </c>
      <c r="I193" s="25"/>
      <c r="J193" s="25"/>
      <c r="K193" s="25"/>
      <c r="L193" s="24">
        <v>6030000</v>
      </c>
      <c r="M193" s="40">
        <f t="shared" si="9"/>
        <v>6030000</v>
      </c>
    </row>
    <row r="194" spans="1:13" ht="20.100000000000001" customHeight="1">
      <c r="A194" s="16">
        <v>31</v>
      </c>
      <c r="B194" s="6" t="s">
        <v>171</v>
      </c>
      <c r="C194" s="6" t="s">
        <v>288</v>
      </c>
      <c r="D194" s="7" t="s">
        <v>9</v>
      </c>
      <c r="E194" s="7" t="s">
        <v>7</v>
      </c>
      <c r="F194" s="41" t="s">
        <v>148</v>
      </c>
      <c r="G194" s="6">
        <v>2024</v>
      </c>
      <c r="H194" s="6">
        <v>2028</v>
      </c>
      <c r="I194" s="25"/>
      <c r="J194" s="25"/>
      <c r="K194" s="25"/>
      <c r="L194" s="24">
        <v>4650000</v>
      </c>
      <c r="M194" s="40">
        <f t="shared" si="9"/>
        <v>4650000</v>
      </c>
    </row>
    <row r="195" spans="1:13" ht="20.100000000000001" customHeight="1">
      <c r="A195" s="6">
        <v>32</v>
      </c>
      <c r="B195" s="7" t="s">
        <v>171</v>
      </c>
      <c r="C195" s="6" t="s">
        <v>288</v>
      </c>
      <c r="D195" s="7" t="s">
        <v>9</v>
      </c>
      <c r="E195" s="7" t="s">
        <v>7</v>
      </c>
      <c r="F195" s="41" t="s">
        <v>38</v>
      </c>
      <c r="G195" s="7">
        <v>2022</v>
      </c>
      <c r="H195" s="6">
        <v>2026</v>
      </c>
      <c r="I195" s="25"/>
      <c r="J195" s="25"/>
      <c r="K195" s="25"/>
      <c r="L195" s="24">
        <v>4350000</v>
      </c>
      <c r="M195" s="40">
        <f t="shared" si="9"/>
        <v>4350000</v>
      </c>
    </row>
    <row r="196" spans="1:13" ht="20.100000000000001" customHeight="1">
      <c r="A196" s="16">
        <v>33</v>
      </c>
      <c r="B196" s="6" t="s">
        <v>171</v>
      </c>
      <c r="C196" s="6" t="s">
        <v>288</v>
      </c>
      <c r="D196" s="7" t="s">
        <v>9</v>
      </c>
      <c r="E196" s="7" t="s">
        <v>7</v>
      </c>
      <c r="F196" s="41" t="s">
        <v>158</v>
      </c>
      <c r="G196" s="6">
        <v>2024</v>
      </c>
      <c r="H196" s="6">
        <v>2028</v>
      </c>
      <c r="I196" s="25"/>
      <c r="J196" s="25"/>
      <c r="K196" s="25"/>
      <c r="L196" s="24">
        <v>4110000</v>
      </c>
      <c r="M196" s="40">
        <f t="shared" si="9"/>
        <v>4110000</v>
      </c>
    </row>
    <row r="197" spans="1:13" ht="20.100000000000001" customHeight="1">
      <c r="A197" s="16">
        <v>34</v>
      </c>
      <c r="B197" s="6" t="s">
        <v>171</v>
      </c>
      <c r="C197" s="6" t="s">
        <v>288</v>
      </c>
      <c r="D197" s="7" t="s">
        <v>187</v>
      </c>
      <c r="E197" s="7" t="s">
        <v>7</v>
      </c>
      <c r="F197" s="41" t="s">
        <v>272</v>
      </c>
      <c r="G197" s="6">
        <v>2024</v>
      </c>
      <c r="H197" s="6">
        <v>2028</v>
      </c>
      <c r="I197" s="25"/>
      <c r="J197" s="25"/>
      <c r="K197" s="25"/>
      <c r="L197" s="24">
        <v>6510000</v>
      </c>
      <c r="M197" s="40">
        <f t="shared" si="9"/>
        <v>6510000</v>
      </c>
    </row>
    <row r="198" spans="1:13" ht="20.100000000000001" customHeight="1">
      <c r="A198" s="6">
        <v>35</v>
      </c>
      <c r="B198" s="6" t="s">
        <v>171</v>
      </c>
      <c r="C198" s="6" t="s">
        <v>288</v>
      </c>
      <c r="D198" s="7" t="s">
        <v>187</v>
      </c>
      <c r="E198" s="7" t="s">
        <v>7</v>
      </c>
      <c r="F198" s="41" t="s">
        <v>273</v>
      </c>
      <c r="G198" s="6">
        <v>2024</v>
      </c>
      <c r="H198" s="6">
        <v>2028</v>
      </c>
      <c r="I198" s="25"/>
      <c r="J198" s="25"/>
      <c r="K198" s="25"/>
      <c r="L198" s="24">
        <v>6150000</v>
      </c>
      <c r="M198" s="40">
        <f t="shared" si="9"/>
        <v>6150000</v>
      </c>
    </row>
    <row r="199" spans="1:13" ht="20.100000000000001" customHeight="1">
      <c r="A199" s="16">
        <v>36</v>
      </c>
      <c r="B199" s="7" t="s">
        <v>171</v>
      </c>
      <c r="C199" s="6" t="s">
        <v>288</v>
      </c>
      <c r="D199" s="7" t="s">
        <v>187</v>
      </c>
      <c r="E199" s="7" t="s">
        <v>7</v>
      </c>
      <c r="F199" s="41" t="s">
        <v>274</v>
      </c>
      <c r="G199" s="6">
        <v>2024</v>
      </c>
      <c r="H199" s="6">
        <v>2028</v>
      </c>
      <c r="I199" s="25"/>
      <c r="J199" s="25"/>
      <c r="K199" s="25"/>
      <c r="L199" s="24">
        <v>6060000</v>
      </c>
      <c r="M199" s="40">
        <f t="shared" si="9"/>
        <v>6060000</v>
      </c>
    </row>
    <row r="200" spans="1:13" ht="20.100000000000001" customHeight="1">
      <c r="A200" s="16">
        <v>37</v>
      </c>
      <c r="B200" s="6" t="s">
        <v>171</v>
      </c>
      <c r="C200" s="6" t="s">
        <v>288</v>
      </c>
      <c r="D200" s="7" t="s">
        <v>187</v>
      </c>
      <c r="E200" s="7" t="s">
        <v>7</v>
      </c>
      <c r="F200" s="41" t="s">
        <v>275</v>
      </c>
      <c r="G200" s="6">
        <v>2024</v>
      </c>
      <c r="H200" s="6">
        <v>2028</v>
      </c>
      <c r="I200" s="25"/>
      <c r="J200" s="25"/>
      <c r="K200" s="25"/>
      <c r="L200" s="24">
        <v>4440000</v>
      </c>
      <c r="M200" s="40">
        <f t="shared" si="9"/>
        <v>4440000</v>
      </c>
    </row>
    <row r="201" spans="1:13" ht="20.100000000000001" customHeight="1" thickBot="1">
      <c r="A201" s="56" t="s">
        <v>279</v>
      </c>
      <c r="B201" s="57"/>
      <c r="C201" s="57"/>
      <c r="D201" s="57"/>
      <c r="E201" s="57"/>
      <c r="F201" s="58"/>
      <c r="G201" s="17"/>
      <c r="H201" s="17"/>
      <c r="I201" s="29">
        <f>SUM(I164:I197)</f>
        <v>0</v>
      </c>
      <c r="J201" s="29">
        <f>SUM(J164:J197)</f>
        <v>0</v>
      </c>
      <c r="K201" s="29">
        <f>SUM(K164:K197)</f>
        <v>0</v>
      </c>
      <c r="L201" s="29">
        <f>SUM(L164:L200)</f>
        <v>183470000</v>
      </c>
      <c r="M201" s="29">
        <f t="shared" ref="M201" si="10">SUM(M164:M200)</f>
        <v>183470000</v>
      </c>
    </row>
    <row r="202" spans="1:13" ht="20.100000000000001" customHeight="1" thickTop="1">
      <c r="A202" s="16">
        <v>1</v>
      </c>
      <c r="B202" s="16" t="s">
        <v>171</v>
      </c>
      <c r="C202" s="16" t="s">
        <v>62</v>
      </c>
      <c r="D202" s="16" t="s">
        <v>6</v>
      </c>
      <c r="E202" s="16" t="s">
        <v>7</v>
      </c>
      <c r="F202" s="41" t="s">
        <v>63</v>
      </c>
      <c r="G202" s="16">
        <v>2022</v>
      </c>
      <c r="H202" s="16">
        <v>2026</v>
      </c>
      <c r="I202" s="31"/>
      <c r="J202" s="31"/>
      <c r="K202" s="31"/>
      <c r="L202" s="40">
        <v>4040000</v>
      </c>
      <c r="M202" s="31">
        <f t="shared" ref="M202:M207" si="11">SUM(K202:L202)</f>
        <v>4040000</v>
      </c>
    </row>
    <row r="203" spans="1:13" ht="20.100000000000001" customHeight="1">
      <c r="A203" s="6">
        <v>2</v>
      </c>
      <c r="B203" s="6" t="s">
        <v>171</v>
      </c>
      <c r="C203" s="6" t="s">
        <v>62</v>
      </c>
      <c r="D203" s="6" t="s">
        <v>6</v>
      </c>
      <c r="E203" s="6" t="s">
        <v>7</v>
      </c>
      <c r="F203" s="41" t="s">
        <v>160</v>
      </c>
      <c r="G203" s="6">
        <v>2023</v>
      </c>
      <c r="H203" s="6">
        <v>2027</v>
      </c>
      <c r="I203" s="24"/>
      <c r="J203" s="24"/>
      <c r="K203" s="24"/>
      <c r="L203" s="24">
        <v>3590000</v>
      </c>
      <c r="M203" s="40">
        <f t="shared" si="11"/>
        <v>3590000</v>
      </c>
    </row>
    <row r="204" spans="1:13" ht="20.100000000000001" customHeight="1">
      <c r="A204" s="16">
        <v>3</v>
      </c>
      <c r="B204" s="16" t="s">
        <v>171</v>
      </c>
      <c r="C204" s="16" t="s">
        <v>62</v>
      </c>
      <c r="D204" s="6" t="s">
        <v>9</v>
      </c>
      <c r="E204" s="6" t="s">
        <v>7</v>
      </c>
      <c r="F204" s="41" t="s">
        <v>66</v>
      </c>
      <c r="G204" s="6">
        <v>2022</v>
      </c>
      <c r="H204" s="6">
        <v>2026</v>
      </c>
      <c r="I204" s="24"/>
      <c r="J204" s="24"/>
      <c r="K204" s="24"/>
      <c r="L204" s="24">
        <v>3980000</v>
      </c>
      <c r="M204" s="40">
        <f t="shared" si="11"/>
        <v>3980000</v>
      </c>
    </row>
    <row r="205" spans="1:13" ht="20.100000000000001" customHeight="1">
      <c r="A205" s="6">
        <v>4</v>
      </c>
      <c r="B205" s="6" t="s">
        <v>171</v>
      </c>
      <c r="C205" s="6" t="s">
        <v>62</v>
      </c>
      <c r="D205" s="6" t="s">
        <v>9</v>
      </c>
      <c r="E205" s="6" t="s">
        <v>7</v>
      </c>
      <c r="F205" s="41" t="s">
        <v>209</v>
      </c>
      <c r="G205" s="6">
        <v>2023</v>
      </c>
      <c r="H205" s="6">
        <v>2027</v>
      </c>
      <c r="I205" s="24"/>
      <c r="J205" s="24"/>
      <c r="K205" s="24"/>
      <c r="L205" s="24">
        <v>4550000</v>
      </c>
      <c r="M205" s="40">
        <f t="shared" si="11"/>
        <v>4550000</v>
      </c>
    </row>
    <row r="206" spans="1:13" ht="20.100000000000001" customHeight="1">
      <c r="A206" s="6">
        <v>5</v>
      </c>
      <c r="B206" s="6" t="s">
        <v>171</v>
      </c>
      <c r="C206" s="6" t="s">
        <v>62</v>
      </c>
      <c r="D206" s="6" t="s">
        <v>187</v>
      </c>
      <c r="E206" s="6" t="s">
        <v>7</v>
      </c>
      <c r="F206" s="41" t="s">
        <v>276</v>
      </c>
      <c r="G206" s="41">
        <v>2024</v>
      </c>
      <c r="H206" s="41">
        <v>2028</v>
      </c>
      <c r="I206" s="27"/>
      <c r="J206" s="27"/>
      <c r="K206" s="27"/>
      <c r="L206" s="27">
        <v>3860000</v>
      </c>
      <c r="M206" s="40">
        <f t="shared" si="11"/>
        <v>3860000</v>
      </c>
    </row>
    <row r="207" spans="1:13" ht="20.100000000000001" customHeight="1">
      <c r="A207" s="6">
        <v>6</v>
      </c>
      <c r="B207" s="6" t="s">
        <v>171</v>
      </c>
      <c r="C207" s="6" t="s">
        <v>62</v>
      </c>
      <c r="D207" s="6" t="s">
        <v>187</v>
      </c>
      <c r="E207" s="6" t="s">
        <v>7</v>
      </c>
      <c r="F207" s="45" t="s">
        <v>277</v>
      </c>
      <c r="G207" s="41">
        <v>2024</v>
      </c>
      <c r="H207" s="41">
        <v>2028</v>
      </c>
      <c r="I207" s="27"/>
      <c r="J207" s="27"/>
      <c r="K207" s="27"/>
      <c r="L207" s="27">
        <v>3950000</v>
      </c>
      <c r="M207" s="40">
        <f t="shared" si="11"/>
        <v>3950000</v>
      </c>
    </row>
    <row r="208" spans="1:13" ht="20.100000000000001" customHeight="1" thickBot="1">
      <c r="A208" s="56" t="s">
        <v>278</v>
      </c>
      <c r="B208" s="57"/>
      <c r="C208" s="57"/>
      <c r="D208" s="57"/>
      <c r="E208" s="57"/>
      <c r="F208" s="58"/>
      <c r="G208" s="17"/>
      <c r="H208" s="17"/>
      <c r="I208" s="29">
        <f t="shared" ref="I208:K208" si="12">SUM(I202:I203)</f>
        <v>0</v>
      </c>
      <c r="J208" s="29">
        <f t="shared" si="12"/>
        <v>0</v>
      </c>
      <c r="K208" s="29">
        <f t="shared" si="12"/>
        <v>0</v>
      </c>
      <c r="L208" s="29">
        <f>SUM(L202:L207)</f>
        <v>23970000</v>
      </c>
      <c r="M208" s="29">
        <f>SUM(M202:M207)</f>
        <v>23970000</v>
      </c>
    </row>
    <row r="209" spans="1:13" ht="20.100000000000001" customHeight="1" thickTop="1" thickBot="1">
      <c r="A209" s="71" t="s">
        <v>280</v>
      </c>
      <c r="B209" s="72"/>
      <c r="C209" s="72"/>
      <c r="D209" s="72"/>
      <c r="E209" s="72"/>
      <c r="F209" s="73"/>
      <c r="G209" s="18"/>
      <c r="H209" s="18"/>
      <c r="I209" s="32">
        <f t="shared" ref="I209:M209" si="13">SUM(I208,I201,I163,I106,I46)</f>
        <v>60000000</v>
      </c>
      <c r="J209" s="32">
        <f t="shared" si="13"/>
        <v>20000000</v>
      </c>
      <c r="K209" s="32">
        <f t="shared" si="13"/>
        <v>80000000</v>
      </c>
      <c r="L209" s="32">
        <f t="shared" si="13"/>
        <v>963168000</v>
      </c>
      <c r="M209" s="32">
        <f t="shared" si="13"/>
        <v>1043168000</v>
      </c>
    </row>
    <row r="210" spans="1:13" ht="20.100000000000001" customHeight="1" thickTop="1">
      <c r="A210" s="9">
        <v>1</v>
      </c>
      <c r="B210" s="11" t="s">
        <v>182</v>
      </c>
      <c r="C210" s="11" t="s">
        <v>13</v>
      </c>
      <c r="D210" s="11" t="s">
        <v>6</v>
      </c>
      <c r="E210" s="11" t="s">
        <v>7</v>
      </c>
      <c r="F210" s="54" t="s">
        <v>169</v>
      </c>
      <c r="G210" s="11">
        <v>2021</v>
      </c>
      <c r="H210" s="11">
        <v>2025</v>
      </c>
      <c r="I210" s="33"/>
      <c r="J210" s="33"/>
      <c r="K210" s="33"/>
      <c r="L210" s="33">
        <v>2148000</v>
      </c>
      <c r="M210" s="30">
        <f t="shared" ref="M210:M222" si="14">SUM(K210:L210)</f>
        <v>2148000</v>
      </c>
    </row>
    <row r="211" spans="1:13" ht="20.100000000000001" customHeight="1">
      <c r="A211" s="6">
        <v>2</v>
      </c>
      <c r="B211" s="7" t="s">
        <v>182</v>
      </c>
      <c r="C211" s="7" t="s">
        <v>13</v>
      </c>
      <c r="D211" s="7" t="s">
        <v>6</v>
      </c>
      <c r="E211" s="7" t="s">
        <v>7</v>
      </c>
      <c r="F211" s="13" t="s">
        <v>170</v>
      </c>
      <c r="G211" s="7">
        <v>2021</v>
      </c>
      <c r="H211" s="7">
        <v>2025</v>
      </c>
      <c r="I211" s="25"/>
      <c r="J211" s="25"/>
      <c r="K211" s="25"/>
      <c r="L211" s="25">
        <v>2088000</v>
      </c>
      <c r="M211" s="24">
        <f t="shared" si="14"/>
        <v>2088000</v>
      </c>
    </row>
    <row r="212" spans="1:13" ht="20.100000000000001" customHeight="1">
      <c r="A212" s="6">
        <v>3</v>
      </c>
      <c r="B212" s="7" t="s">
        <v>182</v>
      </c>
      <c r="C212" s="7" t="s">
        <v>13</v>
      </c>
      <c r="D212" s="7" t="s">
        <v>6</v>
      </c>
      <c r="E212" s="7" t="s">
        <v>7</v>
      </c>
      <c r="F212" s="13" t="s">
        <v>147</v>
      </c>
      <c r="G212" s="7">
        <v>2021</v>
      </c>
      <c r="H212" s="7">
        <v>2025</v>
      </c>
      <c r="I212" s="25"/>
      <c r="J212" s="25"/>
      <c r="K212" s="25"/>
      <c r="L212" s="25">
        <v>3498000</v>
      </c>
      <c r="M212" s="24">
        <f t="shared" si="14"/>
        <v>3498000</v>
      </c>
    </row>
    <row r="213" spans="1:13" ht="20.100000000000001" customHeight="1">
      <c r="A213" s="6">
        <v>4</v>
      </c>
      <c r="B213" s="7" t="s">
        <v>182</v>
      </c>
      <c r="C213" s="7" t="s">
        <v>13</v>
      </c>
      <c r="D213" s="7" t="s">
        <v>6</v>
      </c>
      <c r="E213" s="7" t="s">
        <v>7</v>
      </c>
      <c r="F213" s="7" t="s">
        <v>172</v>
      </c>
      <c r="G213" s="7">
        <v>2021</v>
      </c>
      <c r="H213" s="7">
        <v>2025</v>
      </c>
      <c r="I213" s="25"/>
      <c r="J213" s="25"/>
      <c r="K213" s="25"/>
      <c r="L213" s="25">
        <v>2808000</v>
      </c>
      <c r="M213" s="24">
        <f t="shared" si="14"/>
        <v>2808000</v>
      </c>
    </row>
    <row r="214" spans="1:13" ht="20.100000000000001" customHeight="1">
      <c r="A214" s="6">
        <v>5</v>
      </c>
      <c r="B214" s="7" t="s">
        <v>182</v>
      </c>
      <c r="C214" s="7" t="s">
        <v>13</v>
      </c>
      <c r="D214" s="7" t="s">
        <v>6</v>
      </c>
      <c r="E214" s="7" t="s">
        <v>7</v>
      </c>
      <c r="F214" s="7" t="s">
        <v>167</v>
      </c>
      <c r="G214" s="7">
        <v>2021</v>
      </c>
      <c r="H214" s="7">
        <v>2025</v>
      </c>
      <c r="I214" s="25"/>
      <c r="J214" s="25"/>
      <c r="K214" s="25"/>
      <c r="L214" s="25">
        <v>2958000</v>
      </c>
      <c r="M214" s="24">
        <f t="shared" si="14"/>
        <v>2958000</v>
      </c>
    </row>
    <row r="215" spans="1:13" ht="20.100000000000001" customHeight="1">
      <c r="A215" s="6">
        <v>6</v>
      </c>
      <c r="B215" s="7" t="s">
        <v>182</v>
      </c>
      <c r="C215" s="7" t="s">
        <v>13</v>
      </c>
      <c r="D215" s="7" t="s">
        <v>6</v>
      </c>
      <c r="E215" s="7" t="s">
        <v>7</v>
      </c>
      <c r="F215" s="13" t="s">
        <v>151</v>
      </c>
      <c r="G215" s="7">
        <v>2021</v>
      </c>
      <c r="H215" s="7">
        <v>2025</v>
      </c>
      <c r="I215" s="25"/>
      <c r="J215" s="25"/>
      <c r="K215" s="25"/>
      <c r="L215" s="25">
        <v>2628000</v>
      </c>
      <c r="M215" s="24">
        <f t="shared" si="14"/>
        <v>2628000</v>
      </c>
    </row>
    <row r="216" spans="1:13" ht="20.100000000000001" customHeight="1">
      <c r="A216" s="6">
        <v>7</v>
      </c>
      <c r="B216" s="7" t="s">
        <v>182</v>
      </c>
      <c r="C216" s="7" t="s">
        <v>13</v>
      </c>
      <c r="D216" s="7" t="s">
        <v>6</v>
      </c>
      <c r="E216" s="7" t="s">
        <v>7</v>
      </c>
      <c r="F216" s="7" t="s">
        <v>168</v>
      </c>
      <c r="G216" s="7">
        <v>2021</v>
      </c>
      <c r="H216" s="7">
        <v>2025</v>
      </c>
      <c r="I216" s="25"/>
      <c r="J216" s="25"/>
      <c r="K216" s="25"/>
      <c r="L216" s="25">
        <v>2000000</v>
      </c>
      <c r="M216" s="24">
        <f t="shared" si="14"/>
        <v>2000000</v>
      </c>
    </row>
    <row r="217" spans="1:13" ht="20.100000000000001" customHeight="1">
      <c r="A217" s="6">
        <v>8</v>
      </c>
      <c r="B217" s="7" t="s">
        <v>182</v>
      </c>
      <c r="C217" s="7" t="s">
        <v>13</v>
      </c>
      <c r="D217" s="7" t="s">
        <v>6</v>
      </c>
      <c r="E217" s="7" t="s">
        <v>7</v>
      </c>
      <c r="F217" s="13" t="s">
        <v>166</v>
      </c>
      <c r="G217" s="7">
        <v>2021</v>
      </c>
      <c r="H217" s="7">
        <v>2025</v>
      </c>
      <c r="I217" s="25"/>
      <c r="J217" s="25"/>
      <c r="K217" s="25"/>
      <c r="L217" s="25">
        <v>2028000</v>
      </c>
      <c r="M217" s="24">
        <f t="shared" si="14"/>
        <v>2028000</v>
      </c>
    </row>
    <row r="218" spans="1:13" ht="20.100000000000001" customHeight="1">
      <c r="A218" s="6">
        <v>9</v>
      </c>
      <c r="B218" s="7" t="s">
        <v>182</v>
      </c>
      <c r="C218" s="7" t="s">
        <v>13</v>
      </c>
      <c r="D218" s="7" t="s">
        <v>6</v>
      </c>
      <c r="E218" s="7" t="s">
        <v>7</v>
      </c>
      <c r="F218" s="7" t="s">
        <v>154</v>
      </c>
      <c r="G218" s="7">
        <v>2021</v>
      </c>
      <c r="H218" s="7">
        <v>2025</v>
      </c>
      <c r="I218" s="25"/>
      <c r="J218" s="25"/>
      <c r="K218" s="25"/>
      <c r="L218" s="25">
        <v>2028000</v>
      </c>
      <c r="M218" s="24">
        <f t="shared" si="14"/>
        <v>2028000</v>
      </c>
    </row>
    <row r="219" spans="1:13" ht="20.100000000000001" customHeight="1">
      <c r="A219" s="6">
        <v>10</v>
      </c>
      <c r="B219" s="7" t="s">
        <v>182</v>
      </c>
      <c r="C219" s="7" t="s">
        <v>13</v>
      </c>
      <c r="D219" s="7" t="s">
        <v>6</v>
      </c>
      <c r="E219" s="7" t="s">
        <v>7</v>
      </c>
      <c r="F219" s="13" t="s">
        <v>204</v>
      </c>
      <c r="G219" s="7">
        <v>2021</v>
      </c>
      <c r="H219" s="7">
        <v>2025</v>
      </c>
      <c r="I219" s="25"/>
      <c r="J219" s="25"/>
      <c r="K219" s="25"/>
      <c r="L219" s="25">
        <v>2178000</v>
      </c>
      <c r="M219" s="24">
        <f t="shared" si="14"/>
        <v>2178000</v>
      </c>
    </row>
    <row r="220" spans="1:13" ht="20.100000000000001" customHeight="1">
      <c r="A220" s="6">
        <v>11</v>
      </c>
      <c r="B220" s="10" t="s">
        <v>182</v>
      </c>
      <c r="C220" s="10" t="s">
        <v>13</v>
      </c>
      <c r="D220" s="10" t="s">
        <v>6</v>
      </c>
      <c r="E220" s="10" t="s">
        <v>7</v>
      </c>
      <c r="F220" s="55" t="s">
        <v>129</v>
      </c>
      <c r="G220" s="10">
        <v>2021</v>
      </c>
      <c r="H220" s="10">
        <v>2025</v>
      </c>
      <c r="I220" s="28"/>
      <c r="J220" s="28"/>
      <c r="K220" s="28"/>
      <c r="L220" s="28">
        <v>2808000</v>
      </c>
      <c r="M220" s="27">
        <f t="shared" si="14"/>
        <v>2808000</v>
      </c>
    </row>
    <row r="221" spans="1:13" ht="20.100000000000001" customHeight="1">
      <c r="A221" s="8">
        <v>12</v>
      </c>
      <c r="B221" s="10" t="s">
        <v>195</v>
      </c>
      <c r="C221" s="10" t="s">
        <v>13</v>
      </c>
      <c r="D221" s="10" t="s">
        <v>6</v>
      </c>
      <c r="E221" s="10" t="s">
        <v>7</v>
      </c>
      <c r="F221" s="55" t="s">
        <v>212</v>
      </c>
      <c r="G221" s="10">
        <v>2021</v>
      </c>
      <c r="H221" s="10">
        <v>2025</v>
      </c>
      <c r="I221" s="28"/>
      <c r="J221" s="28"/>
      <c r="K221" s="28"/>
      <c r="L221" s="28">
        <v>3408000</v>
      </c>
      <c r="M221" s="27">
        <f t="shared" si="14"/>
        <v>3408000</v>
      </c>
    </row>
    <row r="222" spans="1:13" ht="20.100000000000001" customHeight="1" thickBot="1">
      <c r="A222" s="8">
        <v>13</v>
      </c>
      <c r="B222" s="10" t="s">
        <v>182</v>
      </c>
      <c r="C222" s="10" t="s">
        <v>13</v>
      </c>
      <c r="D222" s="10" t="s">
        <v>6</v>
      </c>
      <c r="E222" s="10" t="s">
        <v>7</v>
      </c>
      <c r="F222" s="55" t="s">
        <v>213</v>
      </c>
      <c r="G222" s="15">
        <v>2021</v>
      </c>
      <c r="H222" s="15">
        <v>2025</v>
      </c>
      <c r="I222" s="35"/>
      <c r="J222" s="35"/>
      <c r="K222" s="35"/>
      <c r="L222" s="35">
        <v>2898000</v>
      </c>
      <c r="M222" s="27">
        <f t="shared" si="14"/>
        <v>2898000</v>
      </c>
    </row>
    <row r="223" spans="1:13" ht="20.100000000000001" customHeight="1" thickTop="1" thickBot="1">
      <c r="A223" s="68" t="s">
        <v>215</v>
      </c>
      <c r="B223" s="69"/>
      <c r="C223" s="69"/>
      <c r="D223" s="69"/>
      <c r="E223" s="69"/>
      <c r="F223" s="70"/>
      <c r="G223" s="19"/>
      <c r="H223" s="19"/>
      <c r="I223" s="36">
        <f>SUM(I210:I221)</f>
        <v>0</v>
      </c>
      <c r="J223" s="36">
        <f>SUM(J210:J221)</f>
        <v>0</v>
      </c>
      <c r="K223" s="36">
        <f>SUM(K210:K221)</f>
        <v>0</v>
      </c>
      <c r="L223" s="36">
        <f>SUM(L210:L222)</f>
        <v>33476000</v>
      </c>
      <c r="M223" s="36">
        <f>SUM(M210:M222)</f>
        <v>33476000</v>
      </c>
    </row>
    <row r="224" spans="1:13" ht="20.100000000000001" customHeight="1" thickTop="1">
      <c r="A224" s="8">
        <v>1</v>
      </c>
      <c r="B224" s="10" t="s">
        <v>197</v>
      </c>
      <c r="C224" s="10" t="s">
        <v>13</v>
      </c>
      <c r="D224" s="10" t="s">
        <v>6</v>
      </c>
      <c r="E224" s="10" t="s">
        <v>7</v>
      </c>
      <c r="F224" s="55" t="s">
        <v>174</v>
      </c>
      <c r="G224" s="10">
        <v>2021</v>
      </c>
      <c r="H224" s="10">
        <v>2025</v>
      </c>
      <c r="I224" s="28"/>
      <c r="J224" s="28"/>
      <c r="K224" s="28"/>
      <c r="L224" s="28">
        <v>2000000</v>
      </c>
      <c r="M224" s="27">
        <f t="shared" ref="M224:M236" si="15">SUM(K224:L224)</f>
        <v>2000000</v>
      </c>
    </row>
    <row r="225" spans="1:13" ht="20.100000000000001" customHeight="1">
      <c r="A225" s="6">
        <v>2</v>
      </c>
      <c r="B225" s="7" t="s">
        <v>183</v>
      </c>
      <c r="C225" s="7" t="s">
        <v>13</v>
      </c>
      <c r="D225" s="7" t="s">
        <v>6</v>
      </c>
      <c r="E225" s="7" t="s">
        <v>7</v>
      </c>
      <c r="F225" s="13" t="s">
        <v>179</v>
      </c>
      <c r="G225" s="7">
        <v>2021</v>
      </c>
      <c r="H225" s="7">
        <v>2025</v>
      </c>
      <c r="I225" s="25"/>
      <c r="J225" s="25"/>
      <c r="K225" s="25"/>
      <c r="L225" s="25">
        <v>2000000</v>
      </c>
      <c r="M225" s="24">
        <f t="shared" si="15"/>
        <v>2000000</v>
      </c>
    </row>
    <row r="226" spans="1:13" ht="20.100000000000001" customHeight="1">
      <c r="A226" s="6">
        <v>3</v>
      </c>
      <c r="B226" s="7" t="s">
        <v>183</v>
      </c>
      <c r="C226" s="7" t="s">
        <v>13</v>
      </c>
      <c r="D226" s="7" t="s">
        <v>6</v>
      </c>
      <c r="E226" s="7" t="s">
        <v>7</v>
      </c>
      <c r="F226" s="13" t="s">
        <v>203</v>
      </c>
      <c r="G226" s="7">
        <v>2021</v>
      </c>
      <c r="H226" s="7">
        <v>2025</v>
      </c>
      <c r="I226" s="25"/>
      <c r="J226" s="25"/>
      <c r="K226" s="25"/>
      <c r="L226" s="25">
        <v>2000000</v>
      </c>
      <c r="M226" s="24">
        <f t="shared" si="15"/>
        <v>2000000</v>
      </c>
    </row>
    <row r="227" spans="1:13" ht="20.100000000000001" customHeight="1">
      <c r="A227" s="6">
        <v>4</v>
      </c>
      <c r="B227" s="7" t="s">
        <v>183</v>
      </c>
      <c r="C227" s="7" t="s">
        <v>13</v>
      </c>
      <c r="D227" s="7" t="s">
        <v>6</v>
      </c>
      <c r="E227" s="7" t="s">
        <v>7</v>
      </c>
      <c r="F227" s="13" t="s">
        <v>176</v>
      </c>
      <c r="G227" s="7">
        <v>2021</v>
      </c>
      <c r="H227" s="7">
        <v>2025</v>
      </c>
      <c r="I227" s="25"/>
      <c r="J227" s="25"/>
      <c r="K227" s="25"/>
      <c r="L227" s="25">
        <v>1000000</v>
      </c>
      <c r="M227" s="24">
        <f t="shared" si="15"/>
        <v>1000000</v>
      </c>
    </row>
    <row r="228" spans="1:13" ht="20.100000000000001" customHeight="1">
      <c r="A228" s="6">
        <v>5</v>
      </c>
      <c r="B228" s="7" t="s">
        <v>183</v>
      </c>
      <c r="C228" s="7" t="s">
        <v>13</v>
      </c>
      <c r="D228" s="7" t="s">
        <v>6</v>
      </c>
      <c r="E228" s="7" t="s">
        <v>7</v>
      </c>
      <c r="F228" s="13" t="s">
        <v>180</v>
      </c>
      <c r="G228" s="7">
        <v>2021</v>
      </c>
      <c r="H228" s="7">
        <v>2025</v>
      </c>
      <c r="I228" s="25"/>
      <c r="J228" s="25"/>
      <c r="K228" s="25"/>
      <c r="L228" s="25">
        <v>2000000</v>
      </c>
      <c r="M228" s="24">
        <f t="shared" si="15"/>
        <v>2000000</v>
      </c>
    </row>
    <row r="229" spans="1:13" ht="20.100000000000001" customHeight="1">
      <c r="A229" s="6">
        <v>6</v>
      </c>
      <c r="B229" s="7" t="s">
        <v>183</v>
      </c>
      <c r="C229" s="7" t="s">
        <v>13</v>
      </c>
      <c r="D229" s="7" t="s">
        <v>6</v>
      </c>
      <c r="E229" s="7" t="s">
        <v>7</v>
      </c>
      <c r="F229" s="13" t="s">
        <v>175</v>
      </c>
      <c r="G229" s="7">
        <v>2021</v>
      </c>
      <c r="H229" s="7">
        <v>2025</v>
      </c>
      <c r="I229" s="25"/>
      <c r="J229" s="25"/>
      <c r="K229" s="25"/>
      <c r="L229" s="25">
        <v>2000000</v>
      </c>
      <c r="M229" s="24">
        <f t="shared" si="15"/>
        <v>2000000</v>
      </c>
    </row>
    <row r="230" spans="1:13" ht="20.100000000000001" customHeight="1">
      <c r="A230" s="6">
        <v>7</v>
      </c>
      <c r="B230" s="7" t="s">
        <v>183</v>
      </c>
      <c r="C230" s="7" t="s">
        <v>13</v>
      </c>
      <c r="D230" s="7" t="s">
        <v>6</v>
      </c>
      <c r="E230" s="7" t="s">
        <v>7</v>
      </c>
      <c r="F230" s="13" t="s">
        <v>173</v>
      </c>
      <c r="G230" s="7">
        <v>2021</v>
      </c>
      <c r="H230" s="7">
        <v>2025</v>
      </c>
      <c r="I230" s="25"/>
      <c r="J230" s="25"/>
      <c r="K230" s="25"/>
      <c r="L230" s="25">
        <v>2000000</v>
      </c>
      <c r="M230" s="24">
        <f t="shared" si="15"/>
        <v>2000000</v>
      </c>
    </row>
    <row r="231" spans="1:13" ht="20.100000000000001" customHeight="1">
      <c r="A231" s="6">
        <v>8</v>
      </c>
      <c r="B231" s="7" t="s">
        <v>183</v>
      </c>
      <c r="C231" s="7" t="s">
        <v>13</v>
      </c>
      <c r="D231" s="7" t="s">
        <v>6</v>
      </c>
      <c r="E231" s="7" t="s">
        <v>7</v>
      </c>
      <c r="F231" s="13" t="s">
        <v>177</v>
      </c>
      <c r="G231" s="7">
        <v>2021</v>
      </c>
      <c r="H231" s="7">
        <v>2025</v>
      </c>
      <c r="I231" s="25"/>
      <c r="J231" s="25"/>
      <c r="K231" s="25"/>
      <c r="L231" s="25">
        <v>2000000</v>
      </c>
      <c r="M231" s="24">
        <f t="shared" si="15"/>
        <v>2000000</v>
      </c>
    </row>
    <row r="232" spans="1:13" ht="20.100000000000001" customHeight="1">
      <c r="A232" s="6">
        <v>9</v>
      </c>
      <c r="B232" s="7" t="s">
        <v>183</v>
      </c>
      <c r="C232" s="7" t="s">
        <v>13</v>
      </c>
      <c r="D232" s="7" t="s">
        <v>6</v>
      </c>
      <c r="E232" s="7" t="s">
        <v>7</v>
      </c>
      <c r="F232" s="13" t="s">
        <v>202</v>
      </c>
      <c r="G232" s="7">
        <v>2021</v>
      </c>
      <c r="H232" s="7">
        <v>2025</v>
      </c>
      <c r="I232" s="25"/>
      <c r="J232" s="25"/>
      <c r="K232" s="25"/>
      <c r="L232" s="25">
        <v>1000000</v>
      </c>
      <c r="M232" s="24">
        <f t="shared" si="15"/>
        <v>1000000</v>
      </c>
    </row>
    <row r="233" spans="1:13" ht="20.100000000000001" customHeight="1">
      <c r="A233" s="6">
        <v>10</v>
      </c>
      <c r="B233" s="7" t="s">
        <v>183</v>
      </c>
      <c r="C233" s="7" t="s">
        <v>13</v>
      </c>
      <c r="D233" s="7" t="s">
        <v>6</v>
      </c>
      <c r="E233" s="7" t="s">
        <v>7</v>
      </c>
      <c r="F233" s="13" t="s">
        <v>178</v>
      </c>
      <c r="G233" s="7">
        <v>2021</v>
      </c>
      <c r="H233" s="7">
        <v>2025</v>
      </c>
      <c r="I233" s="25"/>
      <c r="J233" s="25"/>
      <c r="K233" s="25"/>
      <c r="L233" s="25">
        <v>2000000</v>
      </c>
      <c r="M233" s="24">
        <f t="shared" si="15"/>
        <v>2000000</v>
      </c>
    </row>
    <row r="234" spans="1:13" ht="20.100000000000001" customHeight="1">
      <c r="A234" s="6">
        <v>11</v>
      </c>
      <c r="B234" s="7" t="s">
        <v>183</v>
      </c>
      <c r="C234" s="7" t="s">
        <v>13</v>
      </c>
      <c r="D234" s="7" t="s">
        <v>6</v>
      </c>
      <c r="E234" s="7" t="s">
        <v>7</v>
      </c>
      <c r="F234" s="13" t="s">
        <v>205</v>
      </c>
      <c r="G234" s="7">
        <v>2021</v>
      </c>
      <c r="H234" s="7">
        <v>2025</v>
      </c>
      <c r="I234" s="25"/>
      <c r="J234" s="25"/>
      <c r="K234" s="25"/>
      <c r="L234" s="25">
        <v>2000000</v>
      </c>
      <c r="M234" s="24">
        <f t="shared" si="15"/>
        <v>2000000</v>
      </c>
    </row>
    <row r="235" spans="1:13" ht="20.100000000000001" customHeight="1">
      <c r="A235" s="6">
        <v>12</v>
      </c>
      <c r="B235" s="7" t="s">
        <v>183</v>
      </c>
      <c r="C235" s="7" t="s">
        <v>13</v>
      </c>
      <c r="D235" s="7" t="s">
        <v>6</v>
      </c>
      <c r="E235" s="7" t="s">
        <v>7</v>
      </c>
      <c r="F235" s="13" t="s">
        <v>201</v>
      </c>
      <c r="G235" s="7">
        <v>2021</v>
      </c>
      <c r="H235" s="7">
        <v>2025</v>
      </c>
      <c r="I235" s="25"/>
      <c r="J235" s="25"/>
      <c r="K235" s="25"/>
      <c r="L235" s="25">
        <v>1000000</v>
      </c>
      <c r="M235" s="24">
        <f t="shared" si="15"/>
        <v>1000000</v>
      </c>
    </row>
    <row r="236" spans="1:13" ht="20.100000000000001" customHeight="1" thickBot="1">
      <c r="A236" s="6">
        <v>13</v>
      </c>
      <c r="B236" s="14" t="s">
        <v>183</v>
      </c>
      <c r="C236" s="13" t="s">
        <v>185</v>
      </c>
      <c r="D236" s="13" t="s">
        <v>6</v>
      </c>
      <c r="E236" s="13" t="s">
        <v>7</v>
      </c>
      <c r="F236" s="13" t="s">
        <v>181</v>
      </c>
      <c r="G236" s="13">
        <v>2021</v>
      </c>
      <c r="H236" s="13">
        <v>2025</v>
      </c>
      <c r="I236" s="37"/>
      <c r="J236" s="37"/>
      <c r="K236" s="37"/>
      <c r="L236" s="25">
        <v>2000000</v>
      </c>
      <c r="M236" s="24">
        <f t="shared" si="15"/>
        <v>2000000</v>
      </c>
    </row>
    <row r="237" spans="1:13" ht="20.100000000000001" customHeight="1" thickTop="1" thickBot="1">
      <c r="A237" s="68" t="s">
        <v>214</v>
      </c>
      <c r="B237" s="69"/>
      <c r="C237" s="69"/>
      <c r="D237" s="69"/>
      <c r="E237" s="69"/>
      <c r="F237" s="70"/>
      <c r="G237" s="19"/>
      <c r="H237" s="19"/>
      <c r="I237" s="36">
        <f>SUM(I224:I236)</f>
        <v>0</v>
      </c>
      <c r="J237" s="36">
        <f>SUM(J224:J236)</f>
        <v>0</v>
      </c>
      <c r="K237" s="36">
        <f>SUM(K224:K236)</f>
        <v>0</v>
      </c>
      <c r="L237" s="36">
        <f>SUM(L224:L236)</f>
        <v>23000000</v>
      </c>
      <c r="M237" s="36">
        <f t="shared" ref="M237" si="16">SUM(M224:M236)</f>
        <v>23000000</v>
      </c>
    </row>
    <row r="238" spans="1:13" ht="20.100000000000001" customHeight="1" thickTop="1" thickBot="1">
      <c r="A238" s="65" t="s">
        <v>196</v>
      </c>
      <c r="B238" s="66"/>
      <c r="C238" s="66"/>
      <c r="D238" s="66"/>
      <c r="E238" s="66"/>
      <c r="F238" s="67"/>
      <c r="G238" s="20"/>
      <c r="H238" s="20"/>
      <c r="I238" s="34">
        <f>SUM(I223,I237)</f>
        <v>0</v>
      </c>
      <c r="J238" s="34">
        <f>SUM(J223,J237)</f>
        <v>0</v>
      </c>
      <c r="K238" s="34">
        <f>SUM(K223,K237)</f>
        <v>0</v>
      </c>
      <c r="L238" s="34">
        <f>SUM(L237,L223)</f>
        <v>56476000</v>
      </c>
      <c r="M238" s="34">
        <f>SUM(M223,M237)</f>
        <v>56476000</v>
      </c>
    </row>
    <row r="239" spans="1:13" ht="27" customHeight="1" thickTop="1">
      <c r="A239" s="62" t="s">
        <v>283</v>
      </c>
      <c r="B239" s="63"/>
      <c r="C239" s="63"/>
      <c r="D239" s="63"/>
      <c r="E239" s="63"/>
      <c r="F239" s="63"/>
      <c r="G239" s="63"/>
      <c r="H239" s="64"/>
      <c r="I239" s="38">
        <f>SUM(I238,I209)</f>
        <v>60000000</v>
      </c>
      <c r="J239" s="38">
        <f t="shared" ref="J239:M239" si="17">SUM(J238,J209)</f>
        <v>20000000</v>
      </c>
      <c r="K239" s="38">
        <f t="shared" si="17"/>
        <v>80000000</v>
      </c>
      <c r="L239" s="38">
        <f t="shared" si="17"/>
        <v>1019644000</v>
      </c>
      <c r="M239" s="38">
        <f t="shared" si="17"/>
        <v>1099644000</v>
      </c>
    </row>
  </sheetData>
  <autoFilter ref="A2:M4">
    <filterColumn colId="6" showButton="0"/>
    <filterColumn colId="8" showButton="0"/>
    <filterColumn colId="9" showButton="0"/>
    <filterColumn colId="10" showButton="0"/>
    <filterColumn colId="11" showButton="0"/>
  </autoFilter>
  <mergeCells count="23">
    <mergeCell ref="I2:M2"/>
    <mergeCell ref="A106:F106"/>
    <mergeCell ref="A1:M1"/>
    <mergeCell ref="A2:A4"/>
    <mergeCell ref="C2:C4"/>
    <mergeCell ref="F2:F4"/>
    <mergeCell ref="G3:G4"/>
    <mergeCell ref="I3:K3"/>
    <mergeCell ref="M3:M4"/>
    <mergeCell ref="G2:H2"/>
    <mergeCell ref="H3:H4"/>
    <mergeCell ref="B2:B4"/>
    <mergeCell ref="A46:F46"/>
    <mergeCell ref="A163:F163"/>
    <mergeCell ref="A201:F201"/>
    <mergeCell ref="D2:D4"/>
    <mergeCell ref="E2:E4"/>
    <mergeCell ref="A239:H239"/>
    <mergeCell ref="A238:F238"/>
    <mergeCell ref="A237:F237"/>
    <mergeCell ref="A223:F223"/>
    <mergeCell ref="A208:F208"/>
    <mergeCell ref="A209:F209"/>
  </mergeCells>
  <phoneticPr fontId="1" type="noConversion"/>
  <printOptions horizontalCentered="1"/>
  <pageMargins left="0.70866141732283472" right="0.70866141732283472" top="0.59055118110236227" bottom="0.39370078740157483" header="0.31496062992125984" footer="0.31496062992125984"/>
  <pageSetup paperSize="9" scale="46" fitToHeight="0" orientation="portrait" r:id="rId1"/>
  <ignoredErrors>
    <ignoredError sqref="K3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6"/>
  <sheetViews>
    <sheetView workbookViewId="0">
      <selection activeCell="B1" sqref="B1:E1"/>
    </sheetView>
  </sheetViews>
  <sheetFormatPr defaultRowHeight="16.5"/>
  <cols>
    <col min="1" max="1" width="4.5" customWidth="1"/>
    <col min="3" max="3" width="24" customWidth="1"/>
    <col min="4" max="4" width="25.125" customWidth="1"/>
    <col min="5" max="5" width="16.125" customWidth="1"/>
  </cols>
  <sheetData>
    <row r="1" spans="2:5" ht="42" customHeight="1">
      <c r="B1" s="85" t="s">
        <v>219</v>
      </c>
      <c r="C1" s="85"/>
      <c r="D1" s="85"/>
      <c r="E1" s="85"/>
    </row>
    <row r="2" spans="2:5" ht="24.75" customHeight="1">
      <c r="B2" s="46" t="s">
        <v>221</v>
      </c>
    </row>
    <row r="3" spans="2:5" ht="40.5" customHeight="1">
      <c r="B3" s="47" t="s">
        <v>220</v>
      </c>
      <c r="C3" s="47" t="s">
        <v>217</v>
      </c>
      <c r="D3" s="47" t="s">
        <v>218</v>
      </c>
      <c r="E3" s="47" t="s">
        <v>222</v>
      </c>
    </row>
    <row r="4" spans="2:5" ht="32.25" customHeight="1">
      <c r="B4" s="45">
        <v>1</v>
      </c>
      <c r="C4" s="41" t="s">
        <v>169</v>
      </c>
      <c r="D4" s="45" t="s">
        <v>223</v>
      </c>
      <c r="E4" s="45"/>
    </row>
    <row r="5" spans="2:5" ht="32.25" customHeight="1">
      <c r="B5" s="45">
        <v>2</v>
      </c>
      <c r="C5" s="41" t="s">
        <v>170</v>
      </c>
      <c r="D5" s="45" t="s">
        <v>224</v>
      </c>
      <c r="E5" s="45"/>
    </row>
    <row r="6" spans="2:5" ht="32.25" customHeight="1">
      <c r="B6" s="45">
        <v>3</v>
      </c>
      <c r="C6" s="41" t="s">
        <v>147</v>
      </c>
      <c r="D6" s="45" t="s">
        <v>225</v>
      </c>
      <c r="E6" s="45"/>
    </row>
    <row r="7" spans="2:5" ht="32.25" customHeight="1">
      <c r="B7" s="45">
        <v>4</v>
      </c>
      <c r="C7" s="41" t="s">
        <v>172</v>
      </c>
      <c r="D7" s="45" t="s">
        <v>226</v>
      </c>
      <c r="E7" s="45"/>
    </row>
    <row r="8" spans="2:5" ht="32.25" customHeight="1">
      <c r="B8" s="45">
        <v>5</v>
      </c>
      <c r="C8" s="41" t="s">
        <v>167</v>
      </c>
      <c r="D8" s="45" t="s">
        <v>227</v>
      </c>
      <c r="E8" s="45"/>
    </row>
    <row r="9" spans="2:5" ht="32.25" customHeight="1">
      <c r="B9" s="45">
        <v>6</v>
      </c>
      <c r="C9" s="41" t="s">
        <v>151</v>
      </c>
      <c r="D9" s="45" t="s">
        <v>228</v>
      </c>
      <c r="E9" s="45"/>
    </row>
    <row r="10" spans="2:5" ht="32.25" customHeight="1">
      <c r="B10" s="45">
        <v>7</v>
      </c>
      <c r="C10" s="41" t="s">
        <v>168</v>
      </c>
      <c r="D10" s="45" t="s">
        <v>229</v>
      </c>
      <c r="E10" s="45"/>
    </row>
    <row r="11" spans="2:5" ht="32.25" customHeight="1">
      <c r="B11" s="45">
        <v>8</v>
      </c>
      <c r="C11" s="41" t="s">
        <v>166</v>
      </c>
      <c r="D11" s="45" t="s">
        <v>230</v>
      </c>
      <c r="E11" s="45"/>
    </row>
    <row r="12" spans="2:5" ht="32.25" customHeight="1">
      <c r="B12" s="45">
        <v>9</v>
      </c>
      <c r="C12" s="41" t="s">
        <v>154</v>
      </c>
      <c r="D12" s="45" t="s">
        <v>231</v>
      </c>
      <c r="E12" s="45"/>
    </row>
    <row r="13" spans="2:5" ht="32.25" customHeight="1">
      <c r="B13" s="45">
        <v>10</v>
      </c>
      <c r="C13" s="41" t="s">
        <v>204</v>
      </c>
      <c r="D13" s="45" t="s">
        <v>232</v>
      </c>
      <c r="E13" s="45"/>
    </row>
    <row r="14" spans="2:5" ht="32.25" customHeight="1">
      <c r="B14" s="45">
        <v>11</v>
      </c>
      <c r="C14" s="41" t="s">
        <v>129</v>
      </c>
      <c r="D14" s="45" t="s">
        <v>233</v>
      </c>
      <c r="E14" s="45"/>
    </row>
    <row r="15" spans="2:5" ht="32.25" customHeight="1">
      <c r="B15" s="45">
        <v>12</v>
      </c>
      <c r="C15" s="41" t="s">
        <v>212</v>
      </c>
      <c r="D15" s="45" t="s">
        <v>234</v>
      </c>
      <c r="E15" s="45"/>
    </row>
    <row r="16" spans="2:5" ht="32.25" customHeight="1">
      <c r="B16" s="45">
        <v>13</v>
      </c>
      <c r="C16" s="41" t="s">
        <v>213</v>
      </c>
      <c r="D16" s="45" t="s">
        <v>235</v>
      </c>
      <c r="E16" s="45"/>
    </row>
  </sheetData>
  <mergeCells count="1">
    <mergeCell ref="B1:E1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2025년교복우학교(학교시행)</vt:lpstr>
      <vt:lpstr>거점-순회학교 현황</vt:lpstr>
      <vt:lpstr>'2025년교복우학교(학교시행)'!Print_Titles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2023-01-05T07:29:05Z</cp:lastPrinted>
  <dcterms:created xsi:type="dcterms:W3CDTF">2021-01-12T04:58:26Z</dcterms:created>
  <dcterms:modified xsi:type="dcterms:W3CDTF">2025-03-06T06:36:05Z</dcterms:modified>
</cp:coreProperties>
</file>